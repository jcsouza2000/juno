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ouza\juno\Templates\"/>
    </mc:Choice>
  </mc:AlternateContent>
  <xr:revisionPtr revIDLastSave="0" documentId="13_ncr:1_{98B9BA21-FB6A-4E06-AF14-E457C95566EE}" xr6:coauthVersionLast="47" xr6:coauthVersionMax="47" xr10:uidLastSave="{00000000-0000-0000-0000-000000000000}"/>
  <bookViews>
    <workbookView xWindow="-120" yWindow="-120" windowWidth="29040" windowHeight="15720" xr2:uid="{34668C4C-7581-4971-B6B6-444572EBB5CA}"/>
  </bookViews>
  <sheets>
    <sheet name="Balanço" sheetId="2" r:id="rId1"/>
    <sheet name="Resultado" sheetId="1" r:id="rId2"/>
    <sheet name="Fluxo de Caix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42" i="3" l="1"/>
  <c r="I41" i="3"/>
  <c r="I40" i="3"/>
  <c r="I39" i="3"/>
  <c r="I38" i="3"/>
  <c r="I37" i="3"/>
  <c r="I36" i="3"/>
  <c r="I35" i="3"/>
  <c r="I34" i="3"/>
  <c r="I32" i="3"/>
  <c r="I31" i="3"/>
  <c r="I30" i="3"/>
  <c r="I29" i="3"/>
  <c r="I27" i="3"/>
  <c r="I25" i="3"/>
  <c r="I24" i="3"/>
  <c r="I22" i="3"/>
  <c r="I21" i="3"/>
  <c r="I20" i="3"/>
  <c r="I19" i="3"/>
  <c r="I18" i="3"/>
  <c r="I17" i="3"/>
  <c r="I16" i="3"/>
  <c r="I15" i="3"/>
  <c r="I13" i="3"/>
  <c r="I12" i="3"/>
  <c r="I11" i="3"/>
  <c r="I10" i="3"/>
  <c r="I9" i="3"/>
  <c r="I8" i="3"/>
  <c r="I7" i="3"/>
  <c r="I6" i="3"/>
  <c r="I5" i="3"/>
  <c r="I4" i="3"/>
  <c r="I3" i="3"/>
  <c r="H43" i="3"/>
  <c r="G43" i="3"/>
  <c r="H44" i="3"/>
  <c r="G44" i="3"/>
  <c r="F44" i="3"/>
  <c r="F43" i="3"/>
  <c r="H42" i="3"/>
  <c r="G42" i="3"/>
  <c r="F42" i="3"/>
  <c r="G40" i="3"/>
  <c r="F40" i="3"/>
  <c r="H39" i="3"/>
  <c r="H40" i="3" s="1"/>
  <c r="G39" i="3"/>
  <c r="F39" i="3"/>
  <c r="H32" i="3"/>
  <c r="G32" i="3"/>
  <c r="F32" i="3"/>
  <c r="H27" i="3"/>
  <c r="G27" i="3"/>
  <c r="F27" i="3"/>
  <c r="H24" i="3"/>
  <c r="G24" i="3"/>
  <c r="F24" i="3"/>
  <c r="H22" i="3"/>
  <c r="G22" i="3"/>
  <c r="F22" i="3"/>
  <c r="H13" i="3"/>
  <c r="G13" i="3"/>
  <c r="F13" i="3"/>
  <c r="E42" i="3"/>
  <c r="E41" i="3"/>
  <c r="E40" i="3"/>
  <c r="E39" i="3"/>
  <c r="E38" i="3"/>
  <c r="E37" i="3"/>
  <c r="E36" i="3"/>
  <c r="E35" i="3"/>
  <c r="E34" i="3"/>
  <c r="E32" i="3"/>
  <c r="E31" i="3"/>
  <c r="E30" i="3"/>
  <c r="E29" i="3"/>
  <c r="E27" i="3"/>
  <c r="E25" i="3"/>
  <c r="E24" i="3"/>
  <c r="E22" i="3"/>
  <c r="E21" i="3"/>
  <c r="E20" i="3"/>
  <c r="E19" i="3"/>
  <c r="E18" i="3"/>
  <c r="E17" i="3"/>
  <c r="E16" i="3"/>
  <c r="E15" i="3"/>
  <c r="E13" i="3"/>
  <c r="E12" i="3"/>
  <c r="E11" i="3"/>
  <c r="E10" i="3"/>
  <c r="E9" i="3"/>
  <c r="E8" i="3"/>
  <c r="E7" i="3"/>
  <c r="E6" i="3"/>
  <c r="E5" i="3"/>
  <c r="E4" i="3"/>
  <c r="E3" i="3"/>
  <c r="C41" i="3"/>
  <c r="C40" i="3"/>
  <c r="C39" i="3"/>
  <c r="C38" i="3"/>
  <c r="C37" i="3"/>
  <c r="C36" i="3"/>
  <c r="C35" i="3"/>
  <c r="C34" i="3"/>
  <c r="C32" i="3"/>
  <c r="C31" i="3"/>
  <c r="C30" i="3"/>
  <c r="C29" i="3"/>
  <c r="C27" i="3"/>
  <c r="C25" i="3"/>
  <c r="C24" i="3"/>
  <c r="C22" i="3"/>
  <c r="C21" i="3"/>
  <c r="C20" i="3"/>
  <c r="C19" i="3"/>
  <c r="C18" i="3"/>
  <c r="C17" i="3"/>
  <c r="C16" i="3"/>
  <c r="C15" i="3"/>
  <c r="C13" i="3"/>
  <c r="C12" i="3"/>
  <c r="C11" i="3"/>
  <c r="C10" i="3"/>
  <c r="C9" i="3"/>
  <c r="C8" i="3"/>
  <c r="C7" i="3"/>
  <c r="C6" i="3"/>
  <c r="C5" i="3"/>
  <c r="C4" i="3"/>
  <c r="C3" i="3"/>
  <c r="C42" i="3"/>
  <c r="D44" i="3"/>
  <c r="D43" i="3"/>
  <c r="D42" i="3"/>
  <c r="B44" i="3"/>
  <c r="B42" i="3"/>
  <c r="D39" i="3"/>
  <c r="D40" i="3" s="1"/>
  <c r="D32" i="3"/>
  <c r="D27" i="3"/>
  <c r="D24" i="3"/>
  <c r="D22" i="3"/>
  <c r="D13" i="3"/>
  <c r="B40" i="3"/>
  <c r="B39" i="3"/>
  <c r="B32" i="3"/>
  <c r="B27" i="3"/>
  <c r="B24" i="3"/>
  <c r="B22" i="3"/>
  <c r="B13" i="3"/>
  <c r="E38" i="2"/>
  <c r="E36" i="2"/>
  <c r="E34" i="2"/>
  <c r="E33" i="2"/>
  <c r="E32" i="2"/>
  <c r="E31" i="2"/>
  <c r="E30" i="2"/>
  <c r="E29" i="2"/>
  <c r="E27" i="2"/>
  <c r="E26" i="2"/>
  <c r="E25" i="2"/>
  <c r="E24" i="2"/>
  <c r="E23" i="2"/>
  <c r="E22" i="2"/>
  <c r="E21" i="2"/>
  <c r="E18" i="2"/>
  <c r="E16" i="2"/>
  <c r="E15" i="2"/>
  <c r="E13" i="2"/>
  <c r="E12" i="2"/>
  <c r="E11" i="2"/>
  <c r="E8" i="2"/>
  <c r="E7" i="2"/>
  <c r="E6" i="2"/>
  <c r="E5" i="2"/>
  <c r="E4" i="2"/>
  <c r="D36" i="2"/>
  <c r="B36" i="2"/>
  <c r="D18" i="2"/>
  <c r="B18" i="2"/>
  <c r="D27" i="2"/>
  <c r="D38" i="2" s="1"/>
  <c r="D13" i="2"/>
  <c r="D8" i="2"/>
  <c r="B34" i="2"/>
  <c r="B27" i="2"/>
  <c r="B38" i="2" s="1"/>
  <c r="C25" i="2" s="1"/>
  <c r="B8" i="2"/>
  <c r="C5" i="2" s="1"/>
  <c r="B13" i="2"/>
  <c r="C15" i="1"/>
  <c r="B12" i="1"/>
  <c r="C12" i="1" s="1"/>
  <c r="C11" i="1"/>
  <c r="C10" i="1"/>
  <c r="C9" i="1"/>
  <c r="C8" i="1"/>
  <c r="C7" i="1"/>
  <c r="B5" i="1"/>
  <c r="C4" i="1"/>
  <c r="C3" i="1"/>
  <c r="G12" i="1"/>
  <c r="F12" i="1"/>
  <c r="G5" i="1"/>
  <c r="F5" i="1"/>
  <c r="I4" i="1"/>
  <c r="I7" i="1"/>
  <c r="I8" i="1"/>
  <c r="I9" i="1"/>
  <c r="I10" i="1"/>
  <c r="I11" i="1"/>
  <c r="I15" i="1"/>
  <c r="I3" i="1"/>
  <c r="H12" i="1"/>
  <c r="I12" i="1" s="1"/>
  <c r="H5" i="1"/>
  <c r="I5" i="1" s="1"/>
  <c r="D12" i="1"/>
  <c r="E12" i="1" s="1"/>
  <c r="E4" i="1"/>
  <c r="E7" i="1"/>
  <c r="E8" i="1"/>
  <c r="E9" i="1"/>
  <c r="E10" i="1"/>
  <c r="E11" i="1"/>
  <c r="E15" i="1"/>
  <c r="E3" i="1"/>
  <c r="D5" i="1"/>
  <c r="E5" i="1" s="1"/>
  <c r="B14" i="1" l="1"/>
  <c r="B16" i="1" s="1"/>
  <c r="C16" i="1" s="1"/>
  <c r="C34" i="2"/>
  <c r="C24" i="2"/>
  <c r="C23" i="2"/>
  <c r="C22" i="2"/>
  <c r="D40" i="2"/>
  <c r="C31" i="2"/>
  <c r="C38" i="2"/>
  <c r="C33" i="2"/>
  <c r="C30" i="2"/>
  <c r="C21" i="2"/>
  <c r="C36" i="2"/>
  <c r="C32" i="2"/>
  <c r="C29" i="2"/>
  <c r="C13" i="2"/>
  <c r="C27" i="2"/>
  <c r="C26" i="2"/>
  <c r="B40" i="2"/>
  <c r="C18" i="2"/>
  <c r="C15" i="2"/>
  <c r="C12" i="2"/>
  <c r="C11" i="2"/>
  <c r="C7" i="2"/>
  <c r="C6" i="2"/>
  <c r="C4" i="2"/>
  <c r="C16" i="2"/>
  <c r="C8" i="2"/>
  <c r="C5" i="1"/>
  <c r="F14" i="1"/>
  <c r="F16" i="1" s="1"/>
  <c r="G14" i="1"/>
  <c r="G16" i="1" s="1"/>
  <c r="H14" i="1"/>
  <c r="I14" i="1" s="1"/>
  <c r="D14" i="1"/>
  <c r="C14" i="1" l="1"/>
  <c r="B18" i="1"/>
  <c r="C18" i="1" s="1"/>
  <c r="G18" i="1"/>
  <c r="F18" i="1"/>
  <c r="H16" i="1"/>
  <c r="I16" i="1" s="1"/>
  <c r="H18" i="1"/>
  <c r="I18" i="1" s="1"/>
  <c r="D16" i="1"/>
  <c r="E16" i="1" s="1"/>
  <c r="E14" i="1"/>
  <c r="D18" i="1"/>
  <c r="E18" i="1" s="1"/>
</calcChain>
</file>

<file path=xl/sharedStrings.xml><?xml version="1.0" encoding="utf-8"?>
<sst xmlns="http://schemas.openxmlformats.org/spreadsheetml/2006/main" count="108" uniqueCount="84">
  <si>
    <t>jan-mar</t>
  </si>
  <si>
    <t>mar</t>
  </si>
  <si>
    <t>fev</t>
  </si>
  <si>
    <t>jan</t>
  </si>
  <si>
    <t>Demostração de Resultado</t>
  </si>
  <si>
    <t>%</t>
  </si>
  <si>
    <t>Receita Líquida</t>
  </si>
  <si>
    <t>Custo dos Produtos Vendidos</t>
  </si>
  <si>
    <t>Lucro Bruto</t>
  </si>
  <si>
    <t>Lucro (Prejuizo) Líquido</t>
  </si>
  <si>
    <t>Total Receitas (Despesas) Financeiras</t>
  </si>
  <si>
    <t>Despesas Fixas</t>
  </si>
  <si>
    <t>Mão de Obra</t>
  </si>
  <si>
    <t>Serviços de Terceiros</t>
  </si>
  <si>
    <t>Manutenção</t>
  </si>
  <si>
    <t>Depreciação</t>
  </si>
  <si>
    <t>Gastos Gerais</t>
  </si>
  <si>
    <t>Total Despesas Fixas</t>
  </si>
  <si>
    <t>EBITDA</t>
  </si>
  <si>
    <t xml:space="preserve"> R$ mil</t>
  </si>
  <si>
    <t>Balanço Patrimonial (R$ milhões)</t>
  </si>
  <si>
    <t>Ativo Circulante</t>
  </si>
  <si>
    <t>Caixa e equivalente de caixa</t>
  </si>
  <si>
    <t>Títulos e valores mobiliários</t>
  </si>
  <si>
    <t>Estoques</t>
  </si>
  <si>
    <t>Outros</t>
  </si>
  <si>
    <t>Ativo Não Circulante</t>
  </si>
  <si>
    <t xml:space="preserve">   Contas a receber de clientes</t>
  </si>
  <si>
    <t xml:space="preserve">   Outros</t>
  </si>
  <si>
    <t>Investimentos</t>
  </si>
  <si>
    <t>Imobilizado</t>
  </si>
  <si>
    <t>Ativo Total</t>
  </si>
  <si>
    <t>Passivo Circulante</t>
  </si>
  <si>
    <t>Empréstimos e financiamentos e debêntures</t>
  </si>
  <si>
    <t>Fornecedores</t>
  </si>
  <si>
    <t>Obrigações Fiscais</t>
  </si>
  <si>
    <t>Salários e encargos sociais</t>
  </si>
  <si>
    <t>Passivo Não Circulante</t>
  </si>
  <si>
    <t>Imposto de renda e contribuição social diferidos</t>
  </si>
  <si>
    <t>Provisões fiscais, previdenciárias, trabalhistas e cíveis</t>
  </si>
  <si>
    <t>Clientes</t>
  </si>
  <si>
    <t>Total</t>
  </si>
  <si>
    <t xml:space="preserve">Provisão para imposto de renda e contribuição social </t>
  </si>
  <si>
    <t>Patrim.Líquido</t>
  </si>
  <si>
    <t xml:space="preserve">Passivo Total </t>
  </si>
  <si>
    <t>Dez</t>
  </si>
  <si>
    <t>Realizável a Longo Prazo</t>
  </si>
  <si>
    <t>Demonstração de Fluxo de Caixa (R$ mil)</t>
  </si>
  <si>
    <t>Lucro antes dos tributos sobre o lucro</t>
  </si>
  <si>
    <t>Depreciação e amortização</t>
  </si>
  <si>
    <t>Imposto de renda e contribuição social correntes</t>
  </si>
  <si>
    <t>Variação do valor justo de Títulos e valores mobiliários</t>
  </si>
  <si>
    <t>Juros e variação monetária</t>
  </si>
  <si>
    <t>Variação cambial</t>
  </si>
  <si>
    <t>Rendimentos sobre aplicações financeiras</t>
  </si>
  <si>
    <t>Perdas estimadas com estoque</t>
  </si>
  <si>
    <t>Provisão para processos judiciais e administrativos</t>
  </si>
  <si>
    <t>Outras</t>
  </si>
  <si>
    <t>Variações nos Ativos e Passivos</t>
  </si>
  <si>
    <t>Tributos a recuperar</t>
  </si>
  <si>
    <t>Despesas antecipadas</t>
  </si>
  <si>
    <t>Outros ativos</t>
  </si>
  <si>
    <t>Obrigações sociais e trabalhistas</t>
  </si>
  <si>
    <t>Outros passivos</t>
  </si>
  <si>
    <t>Caixa gerado nas operações</t>
  </si>
  <si>
    <t>Imposto de renda e contribuição social pagos</t>
  </si>
  <si>
    <t>Pagamento benefício de passivo atuarial</t>
  </si>
  <si>
    <t xml:space="preserve">Caixa líquido (aplicado nas) gerado pelas atividades operacionais </t>
  </si>
  <si>
    <t>Atividades de Investimento</t>
  </si>
  <si>
    <t>Caixa Líquido Atividades de Investimento</t>
  </si>
  <si>
    <t>Atividades de Financiamento</t>
  </si>
  <si>
    <t>Captação de empréstimos, financiamentos e debêntures</t>
  </si>
  <si>
    <t>Amortização de empréstimos e financiamentos e debêntures</t>
  </si>
  <si>
    <t>Pagamento de juros de empréstimos, financiamentos e debêntures</t>
  </si>
  <si>
    <t>Pagamento de passivos de arrendamentos</t>
  </si>
  <si>
    <t>Dividendos/Juros sobre capital próprio pagos</t>
  </si>
  <si>
    <t>Caixa Líquido Atividades de Financiamento</t>
  </si>
  <si>
    <t>Aumento(Redução) de Caixa e Equivalentes</t>
  </si>
  <si>
    <t>Efeito de variação cambial de caixa e equivalentes</t>
  </si>
  <si>
    <t>Aumento (redução) de caixa e equivalentes c/ Caixa adquirido</t>
  </si>
  <si>
    <t>Saldo inicial de caixa e equivalentes de caixa</t>
  </si>
  <si>
    <t>Saldo final de caixa e equivalentes de caixa</t>
  </si>
  <si>
    <t xml:space="preserve">Adição de bens do ativo imobilizado </t>
  </si>
  <si>
    <t xml:space="preserve">Contas a receber de clientes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</si>
</sst>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(* #,##0.0_);_(* \(#,##0.0\);_(* &quot;-&quot;??_);_(@_)"/>
    <numFmt numFmtId="165" formatCode="_(* #,##0.0_);_(* \(#,##0.0\);_(* &quot;-&quot;?_);_(@_)"/>
    <numFmt numFmtId="166" formatCode="#,##0;\(#,##0\)"/>
    <numFmt numFmtId="167" formatCode="_(* #,##0_);_(* \(#,##0\);_(* &quot;-&quot;??_);_(@_)"/>
    <numFmt numFmtId="168" formatCode="0.0%"/>
  </numFmts>
  <fonts count="1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9"/>
      <color theme="1" tint="0.249977111117893"/>
      <name val="Arial"/>
      <family val="2"/>
    </font>
    <font>
      <sz val="10"/>
      <color indexed="63"/>
      <name val="Arial"/>
      <family val="2"/>
    </font>
    <font>
      <sz val="9"/>
      <color theme="1" tint="0.249977111117893"/>
      <name val="Arial"/>
      <family val="2"/>
    </font>
    <font>
      <sz val="11"/>
      <color theme="1" tint="0.249977111117893"/>
      <name val="Arial"/>
      <family val="2"/>
    </font>
    <font>
      <sz val="11"/>
      <color theme="1"/>
      <name val="Arial"/>
      <family val="2"/>
    </font>
    <font>
      <b/>
      <sz val="11"/>
      <color theme="1" tint="0.249977111117893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0"/>
      <name val="Arial"/>
      <family val="2"/>
    </font>
    <font>
      <sz val="11"/>
      <color theme="1" tint="0.1499984740745262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53813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rgb="FF8EC04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0" fontId="5" fillId="2" borderId="2"/>
  </cellStyleXfs>
  <cellXfs count="81">
    <xf numFmtId="0" fontId="0" fillId="0" borderId="0" xfId="0"/>
    <xf numFmtId="164" fontId="0" fillId="0" borderId="0" xfId="1" applyNumberFormat="1" applyFont="1" applyBorder="1"/>
    <xf numFmtId="9" fontId="0" fillId="0" borderId="0" xfId="2" applyFont="1" applyBorder="1"/>
    <xf numFmtId="0" fontId="0" fillId="0" borderId="0" xfId="0" applyBorder="1"/>
    <xf numFmtId="164" fontId="0" fillId="0" borderId="2" xfId="1" applyNumberFormat="1" applyFont="1" applyBorder="1"/>
    <xf numFmtId="9" fontId="0" fillId="0" borderId="8" xfId="2" applyFont="1" applyBorder="1"/>
    <xf numFmtId="0" fontId="0" fillId="0" borderId="2" xfId="0" applyBorder="1"/>
    <xf numFmtId="0" fontId="0" fillId="0" borderId="8" xfId="0" applyBorder="1"/>
    <xf numFmtId="165" fontId="10" fillId="0" borderId="4" xfId="0" applyNumberFormat="1" applyFont="1" applyBorder="1"/>
    <xf numFmtId="9" fontId="10" fillId="0" borderId="9" xfId="2" applyFont="1" applyBorder="1"/>
    <xf numFmtId="9" fontId="10" fillId="0" borderId="3" xfId="2" applyFont="1" applyBorder="1"/>
    <xf numFmtId="165" fontId="10" fillId="0" borderId="3" xfId="0" applyNumberFormat="1" applyFont="1" applyBorder="1"/>
    <xf numFmtId="0" fontId="0" fillId="0" borderId="11" xfId="0" applyBorder="1"/>
    <xf numFmtId="0" fontId="9" fillId="0" borderId="12" xfId="4" applyFont="1" applyFill="1" applyBorder="1" applyAlignment="1">
      <alignment horizontal="left" vertical="center"/>
    </xf>
    <xf numFmtId="0" fontId="9" fillId="0" borderId="5" xfId="3" applyFont="1" applyBorder="1" applyAlignment="1">
      <alignment horizontal="left" vertical="center"/>
    </xf>
    <xf numFmtId="164" fontId="10" fillId="0" borderId="6" xfId="1" applyNumberFormat="1" applyFont="1" applyBorder="1"/>
    <xf numFmtId="9" fontId="10" fillId="0" borderId="7" xfId="2" applyFont="1" applyBorder="1"/>
    <xf numFmtId="9" fontId="10" fillId="0" borderId="10" xfId="2" applyFont="1" applyBorder="1"/>
    <xf numFmtId="164" fontId="10" fillId="0" borderId="10" xfId="1" applyNumberFormat="1" applyFont="1" applyBorder="1"/>
    <xf numFmtId="0" fontId="9" fillId="0" borderId="11" xfId="4" applyFont="1" applyFill="1" applyBorder="1" applyAlignment="1">
      <alignment horizontal="left" vertical="center"/>
    </xf>
    <xf numFmtId="164" fontId="10" fillId="0" borderId="2" xfId="1" applyNumberFormat="1" applyFont="1" applyBorder="1"/>
    <xf numFmtId="9" fontId="10" fillId="0" borderId="8" xfId="2" applyFont="1" applyBorder="1"/>
    <xf numFmtId="9" fontId="10" fillId="0" borderId="0" xfId="2" applyFont="1" applyBorder="1"/>
    <xf numFmtId="164" fontId="10" fillId="0" borderId="0" xfId="1" applyNumberFormat="1" applyFont="1" applyBorder="1"/>
    <xf numFmtId="164" fontId="8" fillId="0" borderId="2" xfId="1" applyNumberFormat="1" applyFont="1" applyBorder="1"/>
    <xf numFmtId="9" fontId="8" fillId="0" borderId="8" xfId="2" applyFont="1" applyBorder="1"/>
    <xf numFmtId="9" fontId="8" fillId="0" borderId="0" xfId="2" applyFont="1" applyBorder="1"/>
    <xf numFmtId="164" fontId="8" fillId="0" borderId="0" xfId="1" applyNumberFormat="1" applyFont="1" applyBorder="1"/>
    <xf numFmtId="0" fontId="2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/>
    <xf numFmtId="0" fontId="12" fillId="6" borderId="0" xfId="0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center"/>
    </xf>
    <xf numFmtId="0" fontId="12" fillId="6" borderId="0" xfId="0" applyFont="1" applyFill="1" applyBorder="1" applyAlignment="1">
      <alignment horizontal="left" vertical="center" indent="1"/>
    </xf>
    <xf numFmtId="167" fontId="6" fillId="0" borderId="0" xfId="1" applyNumberFormat="1" applyFont="1" applyAlignment="1">
      <alignment horizontal="center" vertical="center"/>
    </xf>
    <xf numFmtId="167" fontId="4" fillId="0" borderId="0" xfId="1" applyNumberFormat="1" applyFont="1" applyAlignment="1">
      <alignment horizontal="center" vertical="center"/>
    </xf>
    <xf numFmtId="167" fontId="0" fillId="0" borderId="0" xfId="1" applyNumberFormat="1" applyFont="1"/>
    <xf numFmtId="0" fontId="8" fillId="0" borderId="0" xfId="0" applyFont="1"/>
    <xf numFmtId="166" fontId="4" fillId="3" borderId="6" xfId="3" applyNumberFormat="1" applyFont="1" applyFill="1" applyBorder="1" applyAlignment="1">
      <alignment horizontal="center" vertical="center"/>
    </xf>
    <xf numFmtId="0" fontId="0" fillId="0" borderId="10" xfId="0" applyBorder="1"/>
    <xf numFmtId="0" fontId="0" fillId="0" borderId="7" xfId="0" applyBorder="1"/>
    <xf numFmtId="167" fontId="7" fillId="3" borderId="2" xfId="1" applyNumberFormat="1" applyFont="1" applyFill="1" applyBorder="1" applyAlignment="1">
      <alignment horizontal="center" vertical="center"/>
    </xf>
    <xf numFmtId="168" fontId="8" fillId="0" borderId="0" xfId="2" applyNumberFormat="1" applyFont="1" applyBorder="1"/>
    <xf numFmtId="167" fontId="8" fillId="0" borderId="0" xfId="0" applyNumberFormat="1" applyFont="1" applyBorder="1"/>
    <xf numFmtId="168" fontId="8" fillId="0" borderId="8" xfId="2" applyNumberFormat="1" applyFont="1" applyBorder="1"/>
    <xf numFmtId="167" fontId="9" fillId="0" borderId="2" xfId="1" applyNumberFormat="1" applyFont="1" applyBorder="1" applyAlignment="1">
      <alignment horizontal="center" vertical="center"/>
    </xf>
    <xf numFmtId="167" fontId="9" fillId="0" borderId="0" xfId="1" applyNumberFormat="1" applyFont="1" applyBorder="1" applyAlignment="1">
      <alignment horizontal="center" vertical="center"/>
    </xf>
    <xf numFmtId="167" fontId="7" fillId="0" borderId="2" xfId="1" applyNumberFormat="1" applyFont="1" applyBorder="1" applyAlignment="1">
      <alignment horizontal="center" vertical="center"/>
    </xf>
    <xf numFmtId="167" fontId="9" fillId="3" borderId="2" xfId="1" applyNumberFormat="1" applyFont="1" applyFill="1" applyBorder="1" applyAlignment="1">
      <alignment horizontal="center" vertical="center"/>
    </xf>
    <xf numFmtId="167" fontId="9" fillId="3" borderId="0" xfId="1" applyNumberFormat="1" applyFont="1" applyFill="1" applyBorder="1" applyAlignment="1">
      <alignment horizontal="center" vertical="center"/>
    </xf>
    <xf numFmtId="0" fontId="8" fillId="0" borderId="0" xfId="0" applyFont="1" applyBorder="1"/>
    <xf numFmtId="0" fontId="8" fillId="0" borderId="8" xfId="0" applyFont="1" applyBorder="1"/>
    <xf numFmtId="167" fontId="9" fillId="0" borderId="4" xfId="1" applyNumberFormat="1" applyFont="1" applyBorder="1" applyAlignment="1">
      <alignment horizontal="center" vertical="center"/>
    </xf>
    <xf numFmtId="168" fontId="8" fillId="0" borderId="3" xfId="2" applyNumberFormat="1" applyFont="1" applyBorder="1"/>
    <xf numFmtId="167" fontId="9" fillId="0" borderId="3" xfId="1" applyNumberFormat="1" applyFont="1" applyBorder="1" applyAlignment="1">
      <alignment horizontal="center" vertical="center"/>
    </xf>
    <xf numFmtId="168" fontId="8" fillId="0" borderId="9" xfId="2" applyNumberFormat="1" applyFont="1" applyBorder="1"/>
    <xf numFmtId="0" fontId="7" fillId="0" borderId="11" xfId="3" applyFont="1" applyBorder="1" applyAlignment="1">
      <alignment horizontal="left" vertical="center" indent="1"/>
    </xf>
    <xf numFmtId="0" fontId="7" fillId="0" borderId="11" xfId="4" applyFont="1" applyFill="1" applyBorder="1" applyAlignment="1">
      <alignment horizontal="left" indent="1"/>
    </xf>
    <xf numFmtId="0" fontId="9" fillId="0" borderId="11" xfId="3" applyFont="1" applyBorder="1" applyAlignment="1">
      <alignment horizontal="left" vertical="center"/>
    </xf>
    <xf numFmtId="0" fontId="9" fillId="0" borderId="11" xfId="4" applyFont="1" applyFill="1" applyBorder="1" applyAlignment="1">
      <alignment horizontal="left" indent="1"/>
    </xf>
    <xf numFmtId="0" fontId="7" fillId="0" borderId="11" xfId="4" applyFont="1" applyFill="1" applyBorder="1" applyAlignment="1">
      <alignment horizontal="left" indent="8"/>
    </xf>
    <xf numFmtId="0" fontId="13" fillId="0" borderId="11" xfId="3" applyFont="1" applyBorder="1"/>
    <xf numFmtId="0" fontId="7" fillId="0" borderId="11" xfId="4" applyFont="1" applyFill="1" applyBorder="1" applyAlignment="1">
      <alignment horizontal="left" indent="2"/>
    </xf>
    <xf numFmtId="0" fontId="9" fillId="0" borderId="12" xfId="3" applyFont="1" applyBorder="1" applyAlignment="1">
      <alignment horizontal="left" vertical="center"/>
    </xf>
    <xf numFmtId="0" fontId="9" fillId="0" borderId="11" xfId="4" applyFont="1" applyFill="1" applyBorder="1" applyAlignment="1">
      <alignment horizontal="left"/>
    </xf>
    <xf numFmtId="0" fontId="7" fillId="3" borderId="11" xfId="4" applyFont="1" applyFill="1" applyBorder="1" applyAlignment="1">
      <alignment horizontal="left" indent="1"/>
    </xf>
    <xf numFmtId="0" fontId="12" fillId="6" borderId="13" xfId="0" applyFont="1" applyFill="1" applyBorder="1" applyAlignment="1">
      <alignment horizontal="left" vertical="center" indent="1"/>
    </xf>
    <xf numFmtId="167" fontId="9" fillId="0" borderId="6" xfId="1" applyNumberFormat="1" applyFont="1" applyBorder="1" applyAlignment="1">
      <alignment horizontal="center" vertical="center"/>
    </xf>
    <xf numFmtId="168" fontId="8" fillId="0" borderId="10" xfId="2" applyNumberFormat="1" applyFont="1" applyBorder="1"/>
    <xf numFmtId="167" fontId="8" fillId="0" borderId="10" xfId="1" applyNumberFormat="1" applyFont="1" applyBorder="1"/>
    <xf numFmtId="168" fontId="8" fillId="0" borderId="7" xfId="2" applyNumberFormat="1" applyFont="1" applyBorder="1"/>
    <xf numFmtId="167" fontId="8" fillId="0" borderId="0" xfId="1" applyNumberFormat="1" applyFont="1" applyBorder="1"/>
    <xf numFmtId="0" fontId="0" fillId="0" borderId="3" xfId="0" applyBorder="1"/>
    <xf numFmtId="0" fontId="0" fillId="0" borderId="9" xfId="0" applyBorder="1"/>
    <xf numFmtId="0" fontId="9" fillId="3" borderId="5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 indent="1"/>
    </xf>
    <xf numFmtId="0" fontId="9" fillId="3" borderId="11" xfId="0" applyFont="1" applyFill="1" applyBorder="1" applyAlignment="1">
      <alignment horizontal="left" vertical="center"/>
    </xf>
    <xf numFmtId="0" fontId="9" fillId="3" borderId="12" xfId="0" applyFont="1" applyFill="1" applyBorder="1" applyAlignment="1">
      <alignment horizontal="left" vertical="center"/>
    </xf>
  </cellXfs>
  <cellStyles count="5">
    <cellStyle name="Comma" xfId="1" builtinId="3"/>
    <cellStyle name="fa_row_header_standard 2" xfId="4" xr:uid="{07B8C3AB-5338-4221-9448-CBD14884805F}"/>
    <cellStyle name="Normal" xfId="0" builtinId="0"/>
    <cellStyle name="Normal 55" xfId="3" xr:uid="{75C878A8-210A-4C42-B766-1897B22BA555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E7C5-1C67-4CD0-9C9F-09C3AC0E1030}">
  <dimension ref="A1:E75"/>
  <sheetViews>
    <sheetView tabSelected="1" workbookViewId="0">
      <selection sqref="A1:A2"/>
    </sheetView>
  </sheetViews>
  <sheetFormatPr defaultRowHeight="15" x14ac:dyDescent="0.2"/>
  <cols>
    <col min="1" max="1" width="37.33203125" bestFit="1" customWidth="1"/>
  </cols>
  <sheetData>
    <row r="1" spans="1:5" ht="15.75" x14ac:dyDescent="0.25">
      <c r="A1" s="34" t="s">
        <v>20</v>
      </c>
      <c r="B1" s="30">
        <v>2025</v>
      </c>
      <c r="C1" s="30"/>
      <c r="D1" s="28">
        <v>2026</v>
      </c>
      <c r="E1" s="28"/>
    </row>
    <row r="2" spans="1:5" ht="15.75" x14ac:dyDescent="0.25">
      <c r="A2" s="36"/>
      <c r="B2" s="35" t="s">
        <v>45</v>
      </c>
      <c r="C2" s="35" t="s">
        <v>5</v>
      </c>
      <c r="D2" s="29" t="s">
        <v>0</v>
      </c>
      <c r="E2" s="29" t="s">
        <v>5</v>
      </c>
    </row>
    <row r="3" spans="1:5" x14ac:dyDescent="0.2">
      <c r="A3" s="14" t="s">
        <v>21</v>
      </c>
      <c r="B3" s="41"/>
      <c r="C3" s="42"/>
      <c r="D3" s="42"/>
      <c r="E3" s="43"/>
    </row>
    <row r="4" spans="1:5" x14ac:dyDescent="0.2">
      <c r="A4" s="59" t="s">
        <v>22</v>
      </c>
      <c r="B4" s="44">
        <v>10106.016</v>
      </c>
      <c r="C4" s="45">
        <f>+B4/B$18</f>
        <v>0.21584738943076931</v>
      </c>
      <c r="D4" s="46">
        <v>10107.216</v>
      </c>
      <c r="E4" s="47">
        <f>+D4/D$18</f>
        <v>0.21580904670467463</v>
      </c>
    </row>
    <row r="5" spans="1:5" x14ac:dyDescent="0.2">
      <c r="A5" s="59" t="s">
        <v>40</v>
      </c>
      <c r="B5" s="44">
        <v>785.36900000000003</v>
      </c>
      <c r="C5" s="45">
        <f>+B5/B$18</f>
        <v>1.6774151989256088E-2</v>
      </c>
      <c r="D5" s="46">
        <v>786.56900000000007</v>
      </c>
      <c r="E5" s="47">
        <f>+D5/D$18</f>
        <v>1.6794803441170073E-2</v>
      </c>
    </row>
    <row r="6" spans="1:5" x14ac:dyDescent="0.2">
      <c r="A6" s="60" t="s">
        <v>24</v>
      </c>
      <c r="B6" s="44">
        <v>2404.326</v>
      </c>
      <c r="C6" s="45">
        <f>+B6/B$18</f>
        <v>5.1352332159430962E-2</v>
      </c>
      <c r="D6" s="46">
        <v>2405.5259999999998</v>
      </c>
      <c r="E6" s="47">
        <f>+D6/D$18</f>
        <v>5.1362736571901609E-2</v>
      </c>
    </row>
    <row r="7" spans="1:5" x14ac:dyDescent="0.2">
      <c r="A7" s="60" t="s">
        <v>25</v>
      </c>
      <c r="B7" s="44">
        <v>3683.9839999999999</v>
      </c>
      <c r="C7" s="45">
        <f>+B7/B$18</f>
        <v>7.8683660218301976E-2</v>
      </c>
      <c r="D7" s="46">
        <v>3685.1839999999997</v>
      </c>
      <c r="E7" s="47">
        <f>+D7/D$18</f>
        <v>7.8685965153145979E-2</v>
      </c>
    </row>
    <row r="8" spans="1:5" x14ac:dyDescent="0.2">
      <c r="A8" s="61" t="s">
        <v>41</v>
      </c>
      <c r="B8" s="48">
        <f>SUM(B4:B7)</f>
        <v>16979.695</v>
      </c>
      <c r="C8" s="45">
        <f>+B8/B$18</f>
        <v>0.36265753379775834</v>
      </c>
      <c r="D8" s="49">
        <f>SUM(D4:D7)</f>
        <v>16984.494999999999</v>
      </c>
      <c r="E8" s="47">
        <f>+D8/D$18</f>
        <v>0.36265255187089224</v>
      </c>
    </row>
    <row r="9" spans="1:5" x14ac:dyDescent="0.2">
      <c r="A9" s="61" t="s">
        <v>26</v>
      </c>
      <c r="B9" s="50"/>
      <c r="C9" s="45"/>
      <c r="D9" s="46"/>
      <c r="E9" s="47"/>
    </row>
    <row r="10" spans="1:5" ht="15.75" x14ac:dyDescent="0.25">
      <c r="A10" s="62" t="s">
        <v>46</v>
      </c>
      <c r="B10" s="48"/>
      <c r="C10" s="45"/>
      <c r="D10" s="46"/>
      <c r="E10" s="47"/>
    </row>
    <row r="11" spans="1:5" x14ac:dyDescent="0.2">
      <c r="A11" s="60" t="s">
        <v>27</v>
      </c>
      <c r="B11" s="44">
        <v>544.52099999999996</v>
      </c>
      <c r="C11" s="45">
        <f>+B11/B$18</f>
        <v>1.1630046532702097E-2</v>
      </c>
      <c r="D11" s="46">
        <v>545.721</v>
      </c>
      <c r="E11" s="47">
        <f>+D11/D$18</f>
        <v>1.1652222409882378E-2</v>
      </c>
    </row>
    <row r="12" spans="1:5" x14ac:dyDescent="0.2">
      <c r="A12" s="60" t="s">
        <v>28</v>
      </c>
      <c r="B12" s="44">
        <v>103.13800000000001</v>
      </c>
      <c r="C12" s="45">
        <f>+B12/B$18</f>
        <v>2.2028530383398051E-3</v>
      </c>
      <c r="D12" s="46">
        <v>104.33800000000001</v>
      </c>
      <c r="E12" s="47">
        <f>+D12/D$18</f>
        <v>2.2278226086265836E-3</v>
      </c>
    </row>
    <row r="13" spans="1:5" x14ac:dyDescent="0.2">
      <c r="A13" s="61" t="s">
        <v>41</v>
      </c>
      <c r="B13" s="51">
        <f>SUM(B10:B12)</f>
        <v>647.65899999999999</v>
      </c>
      <c r="C13" s="45">
        <f>+B13/B$18</f>
        <v>1.3832899571041904E-2</v>
      </c>
      <c r="D13" s="52">
        <f>SUM(D10:D12)</f>
        <v>650.05899999999997</v>
      </c>
      <c r="E13" s="47">
        <f>+D13/D$18</f>
        <v>1.3880045018508961E-2</v>
      </c>
    </row>
    <row r="14" spans="1:5" x14ac:dyDescent="0.2">
      <c r="A14" s="61"/>
      <c r="B14" s="44"/>
      <c r="C14" s="45"/>
      <c r="D14" s="46"/>
      <c r="E14" s="47"/>
    </row>
    <row r="15" spans="1:5" x14ac:dyDescent="0.2">
      <c r="A15" s="61" t="s">
        <v>29</v>
      </c>
      <c r="B15" s="44">
        <v>544.52099999999996</v>
      </c>
      <c r="C15" s="45">
        <f>+B15/B$18</f>
        <v>1.1630046532702097E-2</v>
      </c>
      <c r="D15" s="46">
        <v>550</v>
      </c>
      <c r="E15" s="47">
        <f>+D15/D$18</f>
        <v>1.1743587520794158E-2</v>
      </c>
    </row>
    <row r="16" spans="1:5" x14ac:dyDescent="0.2">
      <c r="A16" s="61" t="s">
        <v>30</v>
      </c>
      <c r="B16" s="44">
        <v>28648.315999999999</v>
      </c>
      <c r="C16" s="45">
        <f>+B16/B$18</f>
        <v>0.61187952009849766</v>
      </c>
      <c r="D16" s="46">
        <v>28649.516</v>
      </c>
      <c r="E16" s="47">
        <f>+D16/D$18</f>
        <v>0.6117238155898046</v>
      </c>
    </row>
    <row r="17" spans="1:5" x14ac:dyDescent="0.2">
      <c r="A17" s="63"/>
      <c r="B17" s="44"/>
      <c r="C17" s="45"/>
      <c r="D17" s="46"/>
      <c r="E17" s="47"/>
    </row>
    <row r="18" spans="1:5" x14ac:dyDescent="0.2">
      <c r="A18" s="61" t="s">
        <v>31</v>
      </c>
      <c r="B18" s="51">
        <f>+B8+B13+B16+B15</f>
        <v>46820.190999999999</v>
      </c>
      <c r="C18" s="45">
        <f>+B18/B$18</f>
        <v>1</v>
      </c>
      <c r="D18" s="52">
        <f>+D8+D13+D16+D15</f>
        <v>46834.07</v>
      </c>
      <c r="E18" s="47">
        <f>+D18/D$18</f>
        <v>1</v>
      </c>
    </row>
    <row r="19" spans="1:5" x14ac:dyDescent="0.2">
      <c r="A19" s="64"/>
      <c r="B19" s="44"/>
      <c r="C19" s="53"/>
      <c r="D19" s="46"/>
      <c r="E19" s="54"/>
    </row>
    <row r="20" spans="1:5" x14ac:dyDescent="0.2">
      <c r="A20" s="61" t="s">
        <v>32</v>
      </c>
      <c r="B20" s="44"/>
      <c r="C20" s="53"/>
      <c r="D20" s="46"/>
      <c r="E20" s="54"/>
    </row>
    <row r="21" spans="1:5" x14ac:dyDescent="0.2">
      <c r="A21" s="65" t="s">
        <v>33</v>
      </c>
      <c r="B21" s="44">
        <v>18648.315999999999</v>
      </c>
      <c r="C21" s="45">
        <f>+B21/B$38</f>
        <v>0.39829590846952884</v>
      </c>
      <c r="D21" s="46">
        <v>18652</v>
      </c>
      <c r="E21" s="47">
        <f>+D21/D$38</f>
        <v>0.39823778711653796</v>
      </c>
    </row>
    <row r="22" spans="1:5" x14ac:dyDescent="0.2">
      <c r="A22" s="65" t="s">
        <v>34</v>
      </c>
      <c r="B22" s="44">
        <v>10242.376</v>
      </c>
      <c r="C22" s="45">
        <f>+B22/B$38</f>
        <v>0.21875950910562109</v>
      </c>
      <c r="D22" s="46">
        <v>10243.576000000001</v>
      </c>
      <c r="E22" s="47">
        <f>+D22/D$38</f>
        <v>0.2187100063478489</v>
      </c>
    </row>
    <row r="23" spans="1:5" x14ac:dyDescent="0.2">
      <c r="A23" s="65" t="s">
        <v>35</v>
      </c>
      <c r="B23" s="50">
        <v>1770.665</v>
      </c>
      <c r="C23" s="45">
        <f>+B23/B$38</f>
        <v>3.7818354470730668E-2</v>
      </c>
      <c r="D23" s="46">
        <v>1771.865</v>
      </c>
      <c r="E23" s="47">
        <f>+D23/D$38</f>
        <v>3.7830988455353015E-2</v>
      </c>
    </row>
    <row r="24" spans="1:5" x14ac:dyDescent="0.2">
      <c r="A24" s="65" t="s">
        <v>36</v>
      </c>
      <c r="B24" s="50">
        <v>2362.018</v>
      </c>
      <c r="C24" s="45">
        <f>+B24/B$38</f>
        <v>5.0448635958945547E-2</v>
      </c>
      <c r="D24" s="46">
        <v>2363.2179999999998</v>
      </c>
      <c r="E24" s="47">
        <f>+D24/D$38</f>
        <v>5.0456932596717269E-2</v>
      </c>
    </row>
    <row r="25" spans="1:5" x14ac:dyDescent="0.2">
      <c r="A25" s="65" t="s">
        <v>42</v>
      </c>
      <c r="B25" s="50">
        <v>780</v>
      </c>
      <c r="C25" s="45">
        <f>+B25/B$38</f>
        <v>1.6659456468146105E-2</v>
      </c>
      <c r="D25" s="46">
        <v>781.2</v>
      </c>
      <c r="E25" s="47">
        <f>+D25/D$38</f>
        <v>1.667935659958393E-2</v>
      </c>
    </row>
    <row r="26" spans="1:5" x14ac:dyDescent="0.2">
      <c r="A26" s="65" t="s">
        <v>25</v>
      </c>
      <c r="B26" s="50">
        <v>750</v>
      </c>
      <c r="C26" s="45">
        <f>+B26/B$38</f>
        <v>1.6018708142448178E-2</v>
      </c>
      <c r="D26" s="46">
        <v>751.2</v>
      </c>
      <c r="E26" s="47">
        <f>+D26/D$38</f>
        <v>1.6038828312349523E-2</v>
      </c>
    </row>
    <row r="27" spans="1:5" x14ac:dyDescent="0.2">
      <c r="A27" s="61" t="s">
        <v>41</v>
      </c>
      <c r="B27" s="48">
        <f>SUM(B21:B26)</f>
        <v>34553.375</v>
      </c>
      <c r="C27" s="45">
        <f>+B27/B$38</f>
        <v>0.7380005726154204</v>
      </c>
      <c r="D27" s="49">
        <f>SUM(D21:D26)</f>
        <v>34563.058999999994</v>
      </c>
      <c r="E27" s="47">
        <f>+D27/D$38</f>
        <v>0.7379538994283904</v>
      </c>
    </row>
    <row r="28" spans="1:5" x14ac:dyDescent="0.2">
      <c r="A28" s="61" t="s">
        <v>37</v>
      </c>
      <c r="B28" s="48"/>
      <c r="C28" s="45"/>
      <c r="D28" s="46"/>
      <c r="E28" s="47"/>
    </row>
    <row r="29" spans="1:5" x14ac:dyDescent="0.2">
      <c r="A29" s="65" t="s">
        <v>34</v>
      </c>
      <c r="B29" s="50">
        <v>1770.665</v>
      </c>
      <c r="C29" s="45">
        <f>+B29/B$38</f>
        <v>3.7818354470730668E-2</v>
      </c>
      <c r="D29" s="46">
        <v>1771.865</v>
      </c>
      <c r="E29" s="47">
        <f>+D29/D$38</f>
        <v>3.7830988455353015E-2</v>
      </c>
    </row>
    <row r="30" spans="1:5" x14ac:dyDescent="0.2">
      <c r="A30" s="65" t="s">
        <v>33</v>
      </c>
      <c r="B30" s="50">
        <v>2362.018</v>
      </c>
      <c r="C30" s="45">
        <f>+B30/B$38</f>
        <v>5.0448635958945547E-2</v>
      </c>
      <c r="D30" s="46">
        <v>2363.2179999999998</v>
      </c>
      <c r="E30" s="47">
        <f>+D30/D$38</f>
        <v>5.0456932596717269E-2</v>
      </c>
    </row>
    <row r="31" spans="1:5" x14ac:dyDescent="0.2">
      <c r="A31" s="65" t="s">
        <v>38</v>
      </c>
      <c r="B31" s="50">
        <v>658.46600000000001</v>
      </c>
      <c r="C31" s="45">
        <f>+B31/B$38</f>
        <v>1.406369956763371E-2</v>
      </c>
      <c r="D31" s="46">
        <v>659.66600000000005</v>
      </c>
      <c r="E31" s="47">
        <f>+D31/D$38</f>
        <v>1.4084491104225719E-2</v>
      </c>
    </row>
    <row r="32" spans="1:5" x14ac:dyDescent="0.2">
      <c r="A32" s="65" t="s">
        <v>39</v>
      </c>
      <c r="B32" s="44">
        <v>1118.1869999999999</v>
      </c>
      <c r="C32" s="45">
        <f>+B32/B$38</f>
        <v>2.3882548268906265E-2</v>
      </c>
      <c r="D32" s="46">
        <v>1119.3869999999999</v>
      </c>
      <c r="E32" s="47">
        <f>+D32/D$38</f>
        <v>2.3899967928748662E-2</v>
      </c>
    </row>
    <row r="33" spans="1:5" x14ac:dyDescent="0.2">
      <c r="A33" s="65" t="s">
        <v>25</v>
      </c>
      <c r="B33" s="50">
        <v>285.54399999999998</v>
      </c>
      <c r="C33" s="45">
        <f>+B33/B$38</f>
        <v>6.0987279971029635E-3</v>
      </c>
      <c r="D33" s="46">
        <v>286.74399999999997</v>
      </c>
      <c r="E33" s="47">
        <f>+D33/D$38</f>
        <v>6.1222547731580815E-3</v>
      </c>
    </row>
    <row r="34" spans="1:5" x14ac:dyDescent="0.2">
      <c r="A34" s="61" t="s">
        <v>41</v>
      </c>
      <c r="B34" s="50">
        <f>SUM(B29:B33)</f>
        <v>6194.88</v>
      </c>
      <c r="C34" s="45">
        <f>+B34/B$38</f>
        <v>0.13231196626331918</v>
      </c>
      <c r="D34" s="46">
        <v>6196.08</v>
      </c>
      <c r="E34" s="47">
        <f>+D34/D$38</f>
        <v>0.13229215033224526</v>
      </c>
    </row>
    <row r="35" spans="1:5" x14ac:dyDescent="0.2">
      <c r="A35" s="63"/>
      <c r="B35" s="50"/>
      <c r="C35" s="45"/>
      <c r="D35" s="46"/>
      <c r="E35" s="47"/>
    </row>
    <row r="36" spans="1:5" x14ac:dyDescent="0.2">
      <c r="A36" s="61" t="s">
        <v>43</v>
      </c>
      <c r="B36" s="50">
        <f>5528+544</f>
        <v>6072</v>
      </c>
      <c r="C36" s="45">
        <f>+B36/B$38</f>
        <v>0.12968746112126045</v>
      </c>
      <c r="D36" s="46">
        <f>5529.2+548</f>
        <v>6077.2</v>
      </c>
      <c r="E36" s="47">
        <f>+D36/D$38</f>
        <v>0.12975395023936437</v>
      </c>
    </row>
    <row r="37" spans="1:5" x14ac:dyDescent="0.2">
      <c r="A37" s="63"/>
      <c r="B37" s="50"/>
      <c r="C37" s="45"/>
      <c r="D37" s="46"/>
      <c r="E37" s="47"/>
    </row>
    <row r="38" spans="1:5" x14ac:dyDescent="0.2">
      <c r="A38" s="66" t="s">
        <v>44</v>
      </c>
      <c r="B38" s="55">
        <f>+B27+B34+B36</f>
        <v>46820.254999999997</v>
      </c>
      <c r="C38" s="56">
        <f>+B38/B$38</f>
        <v>1</v>
      </c>
      <c r="D38" s="57">
        <f>+D27+D34+D36</f>
        <v>46836.338999999993</v>
      </c>
      <c r="E38" s="58">
        <f>+D38/D$38</f>
        <v>1</v>
      </c>
    </row>
    <row r="39" spans="1:5" x14ac:dyDescent="0.2">
      <c r="B39" s="37"/>
    </row>
    <row r="40" spans="1:5" x14ac:dyDescent="0.2">
      <c r="B40" s="37">
        <f>+B18-B38</f>
        <v>-6.3999999998486601E-2</v>
      </c>
      <c r="D40" s="37">
        <f>+D18-D38</f>
        <v>-2.2689999999929569</v>
      </c>
    </row>
    <row r="41" spans="1:5" x14ac:dyDescent="0.2">
      <c r="B41" s="37"/>
    </row>
    <row r="42" spans="1:5" x14ac:dyDescent="0.2">
      <c r="B42" s="38"/>
    </row>
    <row r="43" spans="1:5" x14ac:dyDescent="0.2">
      <c r="B43" s="37"/>
    </row>
    <row r="44" spans="1:5" x14ac:dyDescent="0.2">
      <c r="B44" s="37"/>
    </row>
    <row r="45" spans="1:5" x14ac:dyDescent="0.2">
      <c r="B45" s="37"/>
    </row>
    <row r="46" spans="1:5" x14ac:dyDescent="0.2">
      <c r="B46" s="37"/>
    </row>
    <row r="47" spans="1:5" x14ac:dyDescent="0.2">
      <c r="B47" s="37"/>
    </row>
    <row r="48" spans="1:5" x14ac:dyDescent="0.2">
      <c r="B48" s="37"/>
    </row>
    <row r="49" spans="2:2" x14ac:dyDescent="0.2">
      <c r="B49" s="37"/>
    </row>
    <row r="50" spans="2:2" x14ac:dyDescent="0.2">
      <c r="B50" s="37"/>
    </row>
    <row r="51" spans="2:2" x14ac:dyDescent="0.2">
      <c r="B51" s="37"/>
    </row>
    <row r="52" spans="2:2" x14ac:dyDescent="0.2">
      <c r="B52" s="37"/>
    </row>
    <row r="53" spans="2:2" x14ac:dyDescent="0.2">
      <c r="B53" s="37"/>
    </row>
    <row r="54" spans="2:2" x14ac:dyDescent="0.2">
      <c r="B54" s="37"/>
    </row>
    <row r="55" spans="2:2" x14ac:dyDescent="0.2">
      <c r="B55" s="38"/>
    </row>
    <row r="56" spans="2:2" x14ac:dyDescent="0.2">
      <c r="B56" s="37"/>
    </row>
    <row r="57" spans="2:2" x14ac:dyDescent="0.2">
      <c r="B57" s="37"/>
    </row>
    <row r="58" spans="2:2" x14ac:dyDescent="0.2">
      <c r="B58" s="37"/>
    </row>
    <row r="59" spans="2:2" x14ac:dyDescent="0.2">
      <c r="B59" s="37"/>
    </row>
    <row r="60" spans="2:2" x14ac:dyDescent="0.2">
      <c r="B60" s="37"/>
    </row>
    <row r="61" spans="2:2" x14ac:dyDescent="0.2">
      <c r="B61" s="37"/>
    </row>
    <row r="62" spans="2:2" x14ac:dyDescent="0.2">
      <c r="B62" s="37"/>
    </row>
    <row r="63" spans="2:2" x14ac:dyDescent="0.2">
      <c r="B63" s="37"/>
    </row>
    <row r="64" spans="2:2" x14ac:dyDescent="0.2">
      <c r="B64" s="38"/>
    </row>
    <row r="65" spans="2:2" x14ac:dyDescent="0.2">
      <c r="B65" s="37"/>
    </row>
    <row r="66" spans="2:2" x14ac:dyDescent="0.2">
      <c r="B66" s="39"/>
    </row>
    <row r="67" spans="2:2" x14ac:dyDescent="0.2">
      <c r="B67" s="39"/>
    </row>
    <row r="68" spans="2:2" x14ac:dyDescent="0.2">
      <c r="B68" s="39"/>
    </row>
    <row r="69" spans="2:2" x14ac:dyDescent="0.2">
      <c r="B69" s="39"/>
    </row>
    <row r="70" spans="2:2" x14ac:dyDescent="0.2">
      <c r="B70" s="39"/>
    </row>
    <row r="71" spans="2:2" x14ac:dyDescent="0.2">
      <c r="B71" s="39"/>
    </row>
    <row r="72" spans="2:2" x14ac:dyDescent="0.2">
      <c r="B72" s="39"/>
    </row>
    <row r="73" spans="2:2" x14ac:dyDescent="0.2">
      <c r="B73" s="39"/>
    </row>
    <row r="74" spans="2:2" x14ac:dyDescent="0.2">
      <c r="B74" s="39"/>
    </row>
    <row r="75" spans="2:2" x14ac:dyDescent="0.2">
      <c r="B75" s="39"/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2020-9FC5-433D-8591-41AEA608EF59}">
  <dimension ref="A1:I18"/>
  <sheetViews>
    <sheetView workbookViewId="0">
      <selection activeCell="B1" sqref="B1:I2"/>
    </sheetView>
  </sheetViews>
  <sheetFormatPr defaultRowHeight="15" x14ac:dyDescent="0.2"/>
  <cols>
    <col min="1" max="1" width="32.109375" customWidth="1"/>
    <col min="2" max="2" width="7.33203125" bestFit="1" customWidth="1"/>
    <col min="3" max="3" width="5.5546875" bestFit="1" customWidth="1"/>
    <col min="5" max="5" width="5.5546875" bestFit="1" customWidth="1"/>
    <col min="9" max="9" width="5.5546875" bestFit="1" customWidth="1"/>
  </cols>
  <sheetData>
    <row r="1" spans="1:9" ht="18" x14ac:dyDescent="0.25">
      <c r="A1" s="33" t="s">
        <v>4</v>
      </c>
      <c r="B1" s="30">
        <v>2025</v>
      </c>
      <c r="C1" s="30"/>
      <c r="D1" s="28">
        <v>2026</v>
      </c>
      <c r="E1" s="28"/>
      <c r="F1" s="28"/>
      <c r="G1" s="28"/>
      <c r="H1" s="28"/>
      <c r="I1" s="28"/>
    </row>
    <row r="2" spans="1:9" ht="18" x14ac:dyDescent="0.25">
      <c r="A2" s="32" t="s">
        <v>19</v>
      </c>
      <c r="B2" s="31" t="s">
        <v>0</v>
      </c>
      <c r="C2" s="31" t="s">
        <v>5</v>
      </c>
      <c r="D2" s="29" t="s">
        <v>0</v>
      </c>
      <c r="E2" s="29" t="s">
        <v>5</v>
      </c>
      <c r="F2" s="29" t="s">
        <v>3</v>
      </c>
      <c r="G2" s="29" t="s">
        <v>2</v>
      </c>
      <c r="H2" s="29" t="s">
        <v>1</v>
      </c>
      <c r="I2" s="29" t="s">
        <v>5</v>
      </c>
    </row>
    <row r="3" spans="1:9" ht="15.75" x14ac:dyDescent="0.25">
      <c r="A3" s="14" t="s">
        <v>6</v>
      </c>
      <c r="B3" s="15">
        <v>100</v>
      </c>
      <c r="C3" s="16">
        <f>+B3/B$3</f>
        <v>1</v>
      </c>
      <c r="D3" s="15">
        <v>100</v>
      </c>
      <c r="E3" s="17">
        <f>+D3/D$3</f>
        <v>1</v>
      </c>
      <c r="F3" s="18">
        <v>30</v>
      </c>
      <c r="G3" s="18">
        <v>30</v>
      </c>
      <c r="H3" s="18">
        <v>30</v>
      </c>
      <c r="I3" s="16">
        <f>+H3/H$3</f>
        <v>1</v>
      </c>
    </row>
    <row r="4" spans="1:9" ht="15.75" x14ac:dyDescent="0.25">
      <c r="A4" s="67" t="s">
        <v>7</v>
      </c>
      <c r="B4" s="24">
        <v>-48</v>
      </c>
      <c r="C4" s="25">
        <f t="shared" ref="C4:E18" si="0">+B4/B$3</f>
        <v>-0.48</v>
      </c>
      <c r="D4" s="24">
        <v>-48</v>
      </c>
      <c r="E4" s="26">
        <f t="shared" si="0"/>
        <v>-0.48</v>
      </c>
      <c r="F4" s="27">
        <v>-14</v>
      </c>
      <c r="G4" s="27">
        <v>-14</v>
      </c>
      <c r="H4" s="27">
        <v>-14</v>
      </c>
      <c r="I4" s="25">
        <f t="shared" ref="I4:I18" si="1">+H4/H$3</f>
        <v>-0.46666666666666667</v>
      </c>
    </row>
    <row r="5" spans="1:9" x14ac:dyDescent="0.2">
      <c r="A5" s="19" t="s">
        <v>8</v>
      </c>
      <c r="B5" s="24">
        <f>+B3+B4</f>
        <v>52</v>
      </c>
      <c r="C5" s="25">
        <f t="shared" si="0"/>
        <v>0.52</v>
      </c>
      <c r="D5" s="24">
        <f>+D3+D4</f>
        <v>52</v>
      </c>
      <c r="E5" s="26">
        <f t="shared" si="0"/>
        <v>0.52</v>
      </c>
      <c r="F5" s="27">
        <f t="shared" ref="F5:G5" si="2">+F3+F4</f>
        <v>16</v>
      </c>
      <c r="G5" s="27">
        <f t="shared" si="2"/>
        <v>16</v>
      </c>
      <c r="H5" s="27">
        <f>+H3+H4</f>
        <v>16</v>
      </c>
      <c r="I5" s="25">
        <f t="shared" si="1"/>
        <v>0.53333333333333333</v>
      </c>
    </row>
    <row r="6" spans="1:9" x14ac:dyDescent="0.2">
      <c r="A6" s="19" t="s">
        <v>11</v>
      </c>
      <c r="B6" s="24"/>
      <c r="C6" s="25"/>
      <c r="D6" s="24"/>
      <c r="E6" s="26"/>
      <c r="F6" s="27"/>
      <c r="G6" s="27"/>
      <c r="H6" s="27"/>
      <c r="I6" s="25"/>
    </row>
    <row r="7" spans="1:9" x14ac:dyDescent="0.2">
      <c r="A7" s="68" t="s">
        <v>12</v>
      </c>
      <c r="B7" s="24">
        <v>-12</v>
      </c>
      <c r="C7" s="25">
        <f t="shared" si="0"/>
        <v>-0.12</v>
      </c>
      <c r="D7" s="24">
        <v>-12</v>
      </c>
      <c r="E7" s="26">
        <f t="shared" si="0"/>
        <v>-0.12</v>
      </c>
      <c r="F7" s="27">
        <v>-4</v>
      </c>
      <c r="G7" s="27">
        <v>-4</v>
      </c>
      <c r="H7" s="27">
        <v>-4</v>
      </c>
      <c r="I7" s="25">
        <f t="shared" si="1"/>
        <v>-0.13333333333333333</v>
      </c>
    </row>
    <row r="8" spans="1:9" x14ac:dyDescent="0.2">
      <c r="A8" s="68" t="s">
        <v>13</v>
      </c>
      <c r="B8" s="24">
        <v>-6</v>
      </c>
      <c r="C8" s="25">
        <f t="shared" si="0"/>
        <v>-0.06</v>
      </c>
      <c r="D8" s="24">
        <v>-6</v>
      </c>
      <c r="E8" s="26">
        <f t="shared" si="0"/>
        <v>-0.06</v>
      </c>
      <c r="F8" s="27">
        <v>-2</v>
      </c>
      <c r="G8" s="27">
        <v>-2</v>
      </c>
      <c r="H8" s="27">
        <v>-2</v>
      </c>
      <c r="I8" s="25">
        <f t="shared" si="1"/>
        <v>-6.6666666666666666E-2</v>
      </c>
    </row>
    <row r="9" spans="1:9" x14ac:dyDescent="0.2">
      <c r="A9" s="68" t="s">
        <v>14</v>
      </c>
      <c r="B9" s="24">
        <v>-5</v>
      </c>
      <c r="C9" s="25">
        <f t="shared" si="0"/>
        <v>-0.05</v>
      </c>
      <c r="D9" s="24">
        <v>-5</v>
      </c>
      <c r="E9" s="26">
        <f t="shared" si="0"/>
        <v>-0.05</v>
      </c>
      <c r="F9" s="27">
        <v>-3</v>
      </c>
      <c r="G9" s="27">
        <v>-3</v>
      </c>
      <c r="H9" s="27">
        <v>-3</v>
      </c>
      <c r="I9" s="25">
        <f t="shared" si="1"/>
        <v>-0.1</v>
      </c>
    </row>
    <row r="10" spans="1:9" x14ac:dyDescent="0.2">
      <c r="A10" s="68" t="s">
        <v>15</v>
      </c>
      <c r="B10" s="24">
        <v>-10</v>
      </c>
      <c r="C10" s="25">
        <f t="shared" si="0"/>
        <v>-0.1</v>
      </c>
      <c r="D10" s="24">
        <v>-10</v>
      </c>
      <c r="E10" s="26">
        <f t="shared" si="0"/>
        <v>-0.1</v>
      </c>
      <c r="F10" s="27">
        <v>-4</v>
      </c>
      <c r="G10" s="27">
        <v>-4</v>
      </c>
      <c r="H10" s="27">
        <v>-4</v>
      </c>
      <c r="I10" s="25">
        <f t="shared" si="1"/>
        <v>-0.13333333333333333</v>
      </c>
    </row>
    <row r="11" spans="1:9" x14ac:dyDescent="0.2">
      <c r="A11" s="68" t="s">
        <v>16</v>
      </c>
      <c r="B11" s="24">
        <v>-5</v>
      </c>
      <c r="C11" s="25">
        <f t="shared" si="0"/>
        <v>-0.05</v>
      </c>
      <c r="D11" s="24">
        <v>-5</v>
      </c>
      <c r="E11" s="26">
        <f t="shared" si="0"/>
        <v>-0.05</v>
      </c>
      <c r="F11" s="27">
        <v>-2</v>
      </c>
      <c r="G11" s="27">
        <v>-2</v>
      </c>
      <c r="H11" s="27">
        <v>-2</v>
      </c>
      <c r="I11" s="25">
        <f t="shared" si="1"/>
        <v>-6.6666666666666666E-2</v>
      </c>
    </row>
    <row r="12" spans="1:9" ht="15.75" x14ac:dyDescent="0.25">
      <c r="A12" s="67" t="s">
        <v>17</v>
      </c>
      <c r="B12" s="24">
        <f>SUM(B7:B11)</f>
        <v>-38</v>
      </c>
      <c r="C12" s="25">
        <f t="shared" si="0"/>
        <v>-0.38</v>
      </c>
      <c r="D12" s="24">
        <f>SUM(D7:D11)</f>
        <v>-38</v>
      </c>
      <c r="E12" s="26">
        <f t="shared" si="0"/>
        <v>-0.38</v>
      </c>
      <c r="F12" s="27">
        <f t="shared" ref="F12:G12" si="3">SUM(F7:F11)</f>
        <v>-15</v>
      </c>
      <c r="G12" s="27">
        <f t="shared" si="3"/>
        <v>-15</v>
      </c>
      <c r="H12" s="27">
        <f>SUM(H7:H11)</f>
        <v>-15</v>
      </c>
      <c r="I12" s="25">
        <f t="shared" si="1"/>
        <v>-0.5</v>
      </c>
    </row>
    <row r="13" spans="1:9" ht="15.75" x14ac:dyDescent="0.25">
      <c r="A13" s="67"/>
      <c r="B13" s="4"/>
      <c r="C13" s="5"/>
      <c r="D13" s="4"/>
      <c r="E13" s="2"/>
      <c r="F13" s="1"/>
      <c r="G13" s="1"/>
      <c r="H13" s="1"/>
      <c r="I13" s="5"/>
    </row>
    <row r="14" spans="1:9" ht="15.75" x14ac:dyDescent="0.25">
      <c r="A14" s="19" t="s">
        <v>8</v>
      </c>
      <c r="B14" s="20">
        <f>+B5+B12</f>
        <v>14</v>
      </c>
      <c r="C14" s="21">
        <f t="shared" si="0"/>
        <v>0.14000000000000001</v>
      </c>
      <c r="D14" s="20">
        <f>+D5+D12</f>
        <v>14</v>
      </c>
      <c r="E14" s="22">
        <f t="shared" si="0"/>
        <v>0.14000000000000001</v>
      </c>
      <c r="F14" s="23">
        <f t="shared" ref="F14:G14" si="4">+F5+F12</f>
        <v>1</v>
      </c>
      <c r="G14" s="23">
        <f t="shared" si="4"/>
        <v>1</v>
      </c>
      <c r="H14" s="23">
        <f>+H5+H12</f>
        <v>1</v>
      </c>
      <c r="I14" s="21">
        <f t="shared" si="1"/>
        <v>3.3333333333333333E-2</v>
      </c>
    </row>
    <row r="15" spans="1:9" x14ac:dyDescent="0.2">
      <c r="A15" s="19" t="s">
        <v>10</v>
      </c>
      <c r="B15" s="24">
        <v>-8</v>
      </c>
      <c r="C15" s="25">
        <f t="shared" si="0"/>
        <v>-0.08</v>
      </c>
      <c r="D15" s="24">
        <v>-8</v>
      </c>
      <c r="E15" s="26">
        <f t="shared" si="0"/>
        <v>-0.08</v>
      </c>
      <c r="F15" s="27">
        <v>-8</v>
      </c>
      <c r="G15" s="27">
        <v>-8</v>
      </c>
      <c r="H15" s="27">
        <v>-8</v>
      </c>
      <c r="I15" s="25">
        <f t="shared" si="1"/>
        <v>-0.26666666666666666</v>
      </c>
    </row>
    <row r="16" spans="1:9" x14ac:dyDescent="0.2">
      <c r="A16" s="19" t="s">
        <v>9</v>
      </c>
      <c r="B16" s="24">
        <f>+B14+B15</f>
        <v>6</v>
      </c>
      <c r="C16" s="25">
        <f t="shared" si="0"/>
        <v>0.06</v>
      </c>
      <c r="D16" s="24">
        <f>+D14+D15</f>
        <v>6</v>
      </c>
      <c r="E16" s="26">
        <f t="shared" si="0"/>
        <v>0.06</v>
      </c>
      <c r="F16" s="27">
        <f t="shared" ref="F16:G16" si="5">+F14+F15</f>
        <v>-7</v>
      </c>
      <c r="G16" s="27">
        <f t="shared" si="5"/>
        <v>-7</v>
      </c>
      <c r="H16" s="27">
        <f>+H14+H15</f>
        <v>-7</v>
      </c>
      <c r="I16" s="25">
        <f t="shared" si="1"/>
        <v>-0.23333333333333334</v>
      </c>
    </row>
    <row r="17" spans="1:9" x14ac:dyDescent="0.2">
      <c r="A17" s="12"/>
      <c r="B17" s="6"/>
      <c r="C17" s="7"/>
      <c r="D17" s="6"/>
      <c r="E17" s="3"/>
      <c r="F17" s="3"/>
      <c r="G17" s="3"/>
      <c r="H17" s="3"/>
      <c r="I17" s="5"/>
    </row>
    <row r="18" spans="1:9" ht="15.75" x14ac:dyDescent="0.25">
      <c r="A18" s="13" t="s">
        <v>18</v>
      </c>
      <c r="B18" s="8">
        <f>+B14-B10</f>
        <v>24</v>
      </c>
      <c r="C18" s="9">
        <f t="shared" si="0"/>
        <v>0.24</v>
      </c>
      <c r="D18" s="8">
        <f>+D14-D10</f>
        <v>24</v>
      </c>
      <c r="E18" s="10">
        <f t="shared" si="0"/>
        <v>0.24</v>
      </c>
      <c r="F18" s="11">
        <f t="shared" ref="F18:G18" si="6">+F14-F10</f>
        <v>5</v>
      </c>
      <c r="G18" s="11">
        <f t="shared" si="6"/>
        <v>5</v>
      </c>
      <c r="H18" s="11">
        <f>+H14-H10</f>
        <v>5</v>
      </c>
      <c r="I18" s="9">
        <f t="shared" si="1"/>
        <v>0.16666666666666666</v>
      </c>
    </row>
  </sheetData>
  <mergeCells count="2">
    <mergeCell ref="B1:C1"/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4D26-8AF9-4B52-A617-EF45C626BA03}">
  <dimension ref="A1:I47"/>
  <sheetViews>
    <sheetView workbookViewId="0">
      <selection sqref="A1:A2"/>
    </sheetView>
  </sheetViews>
  <sheetFormatPr defaultRowHeight="15" x14ac:dyDescent="0.2"/>
  <cols>
    <col min="1" max="1" width="45.88671875" bestFit="1" customWidth="1"/>
    <col min="2" max="2" width="8.21875" style="40" bestFit="1" customWidth="1"/>
    <col min="3" max="3" width="6.77734375" bestFit="1" customWidth="1"/>
    <col min="4" max="4" width="8.21875" bestFit="1" customWidth="1"/>
    <col min="5" max="5" width="6.21875" bestFit="1" customWidth="1"/>
    <col min="6" max="8" width="8.21875" bestFit="1" customWidth="1"/>
    <col min="9" max="9" width="6.21875" bestFit="1" customWidth="1"/>
  </cols>
  <sheetData>
    <row r="1" spans="1:9" ht="15.75" x14ac:dyDescent="0.25">
      <c r="A1" s="69" t="s">
        <v>47</v>
      </c>
      <c r="B1" s="30">
        <v>2025</v>
      </c>
      <c r="C1" s="30"/>
      <c r="D1" s="28">
        <v>2026</v>
      </c>
      <c r="E1" s="28"/>
      <c r="F1" s="28"/>
      <c r="G1" s="28"/>
      <c r="H1" s="28"/>
      <c r="I1" s="28"/>
    </row>
    <row r="2" spans="1:9" ht="15.75" x14ac:dyDescent="0.25">
      <c r="A2" s="36"/>
      <c r="B2" s="35" t="s">
        <v>0</v>
      </c>
      <c r="C2" s="35" t="s">
        <v>5</v>
      </c>
      <c r="D2" s="29" t="s">
        <v>0</v>
      </c>
      <c r="E2" s="29" t="s">
        <v>5</v>
      </c>
      <c r="F2" s="29" t="s">
        <v>3</v>
      </c>
      <c r="G2" s="29" t="s">
        <v>2</v>
      </c>
      <c r="H2" s="29" t="s">
        <v>1</v>
      </c>
      <c r="I2" s="29" t="s">
        <v>5</v>
      </c>
    </row>
    <row r="3" spans="1:9" x14ac:dyDescent="0.2">
      <c r="A3" s="77" t="s">
        <v>48</v>
      </c>
      <c r="B3" s="70">
        <v>102934.42857142857</v>
      </c>
      <c r="C3" s="73">
        <f t="shared" ref="C3:E41" si="0">+B3/B$42</f>
        <v>0.91559937531847269</v>
      </c>
      <c r="D3" s="70">
        <v>-108477.42857142857</v>
      </c>
      <c r="E3" s="71">
        <f t="shared" si="0"/>
        <v>0.32399932925223995</v>
      </c>
      <c r="F3" s="72">
        <v>-36159.142857142855</v>
      </c>
      <c r="G3" s="72">
        <v>-36159.142857142855</v>
      </c>
      <c r="H3" s="72">
        <v>-36159.142857142855</v>
      </c>
      <c r="I3" s="73">
        <f t="shared" ref="I3" si="1">+H3/H$42</f>
        <v>0.32399932925224001</v>
      </c>
    </row>
    <row r="4" spans="1:9" x14ac:dyDescent="0.2">
      <c r="A4" s="78" t="s">
        <v>49</v>
      </c>
      <c r="B4" s="50">
        <v>89032.142857142855</v>
      </c>
      <c r="C4" s="47">
        <f t="shared" si="0"/>
        <v>0.79193886355232412</v>
      </c>
      <c r="D4" s="50">
        <v>84934.71428571429</v>
      </c>
      <c r="E4" s="45">
        <f t="shared" si="0"/>
        <v>-0.25368217905978402</v>
      </c>
      <c r="F4" s="74">
        <v>28311.571428571431</v>
      </c>
      <c r="G4" s="74">
        <v>28311.571428571431</v>
      </c>
      <c r="H4" s="74">
        <v>28311.571428571431</v>
      </c>
      <c r="I4" s="47">
        <f t="shared" ref="I4" si="2">+H4/H$42</f>
        <v>-0.25368217905978407</v>
      </c>
    </row>
    <row r="5" spans="1:9" x14ac:dyDescent="0.2">
      <c r="A5" s="78" t="s">
        <v>50</v>
      </c>
      <c r="B5" s="50">
        <v>0</v>
      </c>
      <c r="C5" s="47">
        <f t="shared" si="0"/>
        <v>0</v>
      </c>
      <c r="D5" s="50">
        <v>0</v>
      </c>
      <c r="E5" s="45">
        <f t="shared" si="0"/>
        <v>0</v>
      </c>
      <c r="F5" s="74">
        <v>0</v>
      </c>
      <c r="G5" s="74">
        <v>0</v>
      </c>
      <c r="H5" s="74">
        <v>0</v>
      </c>
      <c r="I5" s="47">
        <f t="shared" ref="I5" si="3">+H5/H$42</f>
        <v>0</v>
      </c>
    </row>
    <row r="6" spans="1:9" x14ac:dyDescent="0.2">
      <c r="A6" s="78" t="s">
        <v>51</v>
      </c>
      <c r="B6" s="50">
        <v>-4691.1428571428569</v>
      </c>
      <c r="C6" s="47">
        <f t="shared" si="0"/>
        <v>-4.172760784841946E-2</v>
      </c>
      <c r="D6" s="50">
        <v>-740.28571428571433</v>
      </c>
      <c r="E6" s="45">
        <f t="shared" si="0"/>
        <v>2.2110781758221034E-3</v>
      </c>
      <c r="F6" s="74">
        <v>-246.76190476190479</v>
      </c>
      <c r="G6" s="74">
        <v>-246.76190476190479</v>
      </c>
      <c r="H6" s="74">
        <v>-246.76190476190479</v>
      </c>
      <c r="I6" s="47">
        <f t="shared" ref="I6" si="4">+H6/H$42</f>
        <v>2.2110781758221038E-3</v>
      </c>
    </row>
    <row r="7" spans="1:9" x14ac:dyDescent="0.2">
      <c r="A7" s="78" t="s">
        <v>52</v>
      </c>
      <c r="B7" s="50">
        <v>99876</v>
      </c>
      <c r="C7" s="47">
        <f t="shared" si="0"/>
        <v>0.88839472349964055</v>
      </c>
      <c r="D7" s="50">
        <v>96968.71428571429</v>
      </c>
      <c r="E7" s="45">
        <f t="shared" si="0"/>
        <v>-0.28962521328882734</v>
      </c>
      <c r="F7" s="74">
        <v>32322.904761904763</v>
      </c>
      <c r="G7" s="74">
        <v>32322.904761904763</v>
      </c>
      <c r="H7" s="74">
        <v>32322.904761904763</v>
      </c>
      <c r="I7" s="47">
        <f t="shared" ref="I7" si="5">+H7/H$42</f>
        <v>-0.28962521328882734</v>
      </c>
    </row>
    <row r="8" spans="1:9" x14ac:dyDescent="0.2">
      <c r="A8" s="78" t="s">
        <v>53</v>
      </c>
      <c r="B8" s="50">
        <v>-7951.2857142857147</v>
      </c>
      <c r="C8" s="47">
        <f t="shared" si="0"/>
        <v>-7.0726503600559695E-2</v>
      </c>
      <c r="D8" s="50">
        <v>2026</v>
      </c>
      <c r="E8" s="45">
        <f t="shared" si="0"/>
        <v>-6.0512371071997431E-3</v>
      </c>
      <c r="F8" s="74">
        <v>675.33333333333337</v>
      </c>
      <c r="G8" s="74">
        <v>675.33333333333337</v>
      </c>
      <c r="H8" s="74">
        <v>675.33333333333337</v>
      </c>
      <c r="I8" s="47">
        <f t="shared" ref="I8" si="6">+H8/H$42</f>
        <v>-6.051237107199744E-3</v>
      </c>
    </row>
    <row r="9" spans="1:9" x14ac:dyDescent="0.2">
      <c r="A9" s="78" t="s">
        <v>54</v>
      </c>
      <c r="B9" s="50">
        <v>-23401.428571428572</v>
      </c>
      <c r="C9" s="47">
        <f t="shared" si="0"/>
        <v>-0.2081551690617453</v>
      </c>
      <c r="D9" s="50">
        <v>-32584.428571428572</v>
      </c>
      <c r="E9" s="45">
        <f t="shared" si="0"/>
        <v>9.7322854535206366E-2</v>
      </c>
      <c r="F9" s="74">
        <v>-10861.476190476191</v>
      </c>
      <c r="G9" s="74">
        <v>-10861.476190476191</v>
      </c>
      <c r="H9" s="74">
        <v>-10861.476190476191</v>
      </c>
      <c r="I9" s="47">
        <f t="shared" ref="I9" si="7">+H9/H$42</f>
        <v>9.732285453520638E-2</v>
      </c>
    </row>
    <row r="10" spans="1:9" x14ac:dyDescent="0.2">
      <c r="A10" s="78" t="s">
        <v>55</v>
      </c>
      <c r="B10" s="50">
        <v>-333.14285714285717</v>
      </c>
      <c r="C10" s="47">
        <f t="shared" si="0"/>
        <v>-2.9632980541602471E-3</v>
      </c>
      <c r="D10" s="50">
        <v>-971.85714285714289</v>
      </c>
      <c r="E10" s="45">
        <f t="shared" si="0"/>
        <v>2.9027334677957871E-3</v>
      </c>
      <c r="F10" s="74">
        <v>-323.95238095238096</v>
      </c>
      <c r="G10" s="74">
        <v>-323.95238095238096</v>
      </c>
      <c r="H10" s="74">
        <v>-323.95238095238096</v>
      </c>
      <c r="I10" s="47">
        <f t="shared" ref="I10" si="8">+H10/H$42</f>
        <v>2.9027334677957876E-3</v>
      </c>
    </row>
    <row r="11" spans="1:9" x14ac:dyDescent="0.2">
      <c r="A11" s="78" t="s">
        <v>56</v>
      </c>
      <c r="B11" s="50">
        <v>10447</v>
      </c>
      <c r="C11" s="47">
        <f t="shared" si="0"/>
        <v>9.2925824786743008E-2</v>
      </c>
      <c r="D11" s="50">
        <v>5964</v>
      </c>
      <c r="E11" s="45">
        <f t="shared" si="0"/>
        <v>-1.7813217229683747E-2</v>
      </c>
      <c r="F11" s="74">
        <v>1988</v>
      </c>
      <c r="G11" s="74">
        <v>1988</v>
      </c>
      <c r="H11" s="74">
        <v>1988</v>
      </c>
      <c r="I11" s="47">
        <f t="shared" ref="I11" si="9">+H11/H$42</f>
        <v>-1.7813217229683747E-2</v>
      </c>
    </row>
    <row r="12" spans="1:9" x14ac:dyDescent="0.2">
      <c r="A12" s="78" t="s">
        <v>57</v>
      </c>
      <c r="B12" s="50">
        <v>957.85714285714289</v>
      </c>
      <c r="C12" s="47">
        <f t="shared" si="0"/>
        <v>8.5201172612111731E-3</v>
      </c>
      <c r="D12" s="50">
        <v>856.42857142857144</v>
      </c>
      <c r="E12" s="45">
        <f t="shared" si="0"/>
        <v>-2.5579725326232167E-3</v>
      </c>
      <c r="F12" s="74">
        <v>285.47619047619048</v>
      </c>
      <c r="G12" s="74">
        <v>285.47619047619048</v>
      </c>
      <c r="H12" s="74">
        <v>285.47619047619048</v>
      </c>
      <c r="I12" s="47">
        <f t="shared" ref="I12" si="10">+H12/H$42</f>
        <v>-2.5579725326232172E-3</v>
      </c>
    </row>
    <row r="13" spans="1:9" x14ac:dyDescent="0.2">
      <c r="A13" s="78"/>
      <c r="B13" s="48">
        <f>SUM(B3:B12)</f>
        <v>266870.42857142852</v>
      </c>
      <c r="C13" s="47">
        <f t="shared" si="0"/>
        <v>2.3738063258535065</v>
      </c>
      <c r="D13" s="48">
        <f>SUM(D3:D12)</f>
        <v>47975.857142857159</v>
      </c>
      <c r="E13" s="45">
        <f t="shared" si="0"/>
        <v>-0.14329382378705385</v>
      </c>
      <c r="F13" s="49">
        <f t="shared" ref="F13:H13" si="11">SUM(F3:F12)</f>
        <v>15991.952380952385</v>
      </c>
      <c r="G13" s="49">
        <f t="shared" si="11"/>
        <v>15991.952380952385</v>
      </c>
      <c r="H13" s="49">
        <f t="shared" si="11"/>
        <v>15991.952380952385</v>
      </c>
      <c r="I13" s="47">
        <f t="shared" ref="I13" si="12">+H13/H$42</f>
        <v>-0.14329382378705385</v>
      </c>
    </row>
    <row r="14" spans="1:9" x14ac:dyDescent="0.2">
      <c r="A14" s="79" t="s">
        <v>58</v>
      </c>
      <c r="B14" s="48"/>
      <c r="C14" s="47"/>
      <c r="D14" s="48"/>
      <c r="E14" s="45"/>
      <c r="F14" s="74"/>
      <c r="G14" s="74"/>
      <c r="H14" s="74"/>
      <c r="I14" s="47"/>
    </row>
    <row r="15" spans="1:9" x14ac:dyDescent="0.2">
      <c r="A15" s="78" t="s">
        <v>83</v>
      </c>
      <c r="B15" s="50">
        <v>-29007.857142857141</v>
      </c>
      <c r="C15" s="47">
        <f t="shared" si="0"/>
        <v>-0.2580242222930999</v>
      </c>
      <c r="D15" s="50">
        <v>11132</v>
      </c>
      <c r="E15" s="45">
        <f t="shared" si="0"/>
        <v>-3.3248949396519026E-2</v>
      </c>
      <c r="F15" s="74">
        <v>3710.6666666666665</v>
      </c>
      <c r="G15" s="74">
        <v>3710.6666666666665</v>
      </c>
      <c r="H15" s="74">
        <v>3710.6666666666665</v>
      </c>
      <c r="I15" s="47">
        <f t="shared" ref="I15" si="13">+H15/H$42</f>
        <v>-3.3248949396519026E-2</v>
      </c>
    </row>
    <row r="16" spans="1:9" x14ac:dyDescent="0.2">
      <c r="A16" s="78" t="s">
        <v>24</v>
      </c>
      <c r="B16" s="50">
        <v>-81851.571428571435</v>
      </c>
      <c r="C16" s="47">
        <f t="shared" si="0"/>
        <v>-0.7280678458017622</v>
      </c>
      <c r="D16" s="50">
        <v>22796.285714285714</v>
      </c>
      <c r="E16" s="45">
        <f t="shared" si="0"/>
        <v>-6.8087724590628396E-2</v>
      </c>
      <c r="F16" s="74">
        <v>7598.7619047619046</v>
      </c>
      <c r="G16" s="74">
        <v>7598.7619047619046</v>
      </c>
      <c r="H16" s="74">
        <v>7598.7619047619046</v>
      </c>
      <c r="I16" s="47">
        <f t="shared" ref="I16" si="14">+H16/H$42</f>
        <v>-6.8087724590628396E-2</v>
      </c>
    </row>
    <row r="17" spans="1:9" x14ac:dyDescent="0.2">
      <c r="A17" s="78" t="s">
        <v>59</v>
      </c>
      <c r="B17" s="50">
        <v>1495.2857142857142</v>
      </c>
      <c r="C17" s="47">
        <f t="shared" si="0"/>
        <v>1.3300532046696099E-2</v>
      </c>
      <c r="D17" s="50">
        <v>3625.7142857142858</v>
      </c>
      <c r="E17" s="45">
        <f t="shared" si="0"/>
        <v>-1.0829248186484945E-2</v>
      </c>
      <c r="F17" s="74">
        <v>1208.5714285714287</v>
      </c>
      <c r="G17" s="74">
        <v>1208.5714285714287</v>
      </c>
      <c r="H17" s="74">
        <v>1208.5714285714287</v>
      </c>
      <c r="I17" s="47">
        <f t="shared" ref="I17" si="15">+H17/H$42</f>
        <v>-1.0829248186484947E-2</v>
      </c>
    </row>
    <row r="18" spans="1:9" x14ac:dyDescent="0.2">
      <c r="A18" s="78" t="s">
        <v>60</v>
      </c>
      <c r="B18" s="50">
        <v>0</v>
      </c>
      <c r="C18" s="47">
        <f t="shared" si="0"/>
        <v>0</v>
      </c>
      <c r="D18" s="50">
        <v>0</v>
      </c>
      <c r="E18" s="45">
        <f t="shared" si="0"/>
        <v>0</v>
      </c>
      <c r="F18" s="74">
        <v>0</v>
      </c>
      <c r="G18" s="74">
        <v>0</v>
      </c>
      <c r="H18" s="74">
        <v>0</v>
      </c>
      <c r="I18" s="47">
        <f t="shared" ref="I18" si="16">+H18/H$42</f>
        <v>0</v>
      </c>
    </row>
    <row r="19" spans="1:9" x14ac:dyDescent="0.2">
      <c r="A19" s="78" t="s">
        <v>61</v>
      </c>
      <c r="B19" s="50">
        <v>-5455</v>
      </c>
      <c r="C19" s="47">
        <f t="shared" si="0"/>
        <v>-4.8522099570372658E-2</v>
      </c>
      <c r="D19" s="50">
        <v>8104.7142857142853</v>
      </c>
      <c r="E19" s="45">
        <f t="shared" si="0"/>
        <v>-2.4207081850427515E-2</v>
      </c>
      <c r="F19" s="74">
        <v>2701.5714285714284</v>
      </c>
      <c r="G19" s="74">
        <v>2701.5714285714284</v>
      </c>
      <c r="H19" s="74">
        <v>2701.5714285714284</v>
      </c>
      <c r="I19" s="47">
        <f t="shared" ref="I19" si="17">+H19/H$42</f>
        <v>-2.4207081850427518E-2</v>
      </c>
    </row>
    <row r="20" spans="1:9" x14ac:dyDescent="0.2">
      <c r="A20" s="78" t="s">
        <v>62</v>
      </c>
      <c r="B20" s="50">
        <v>12663</v>
      </c>
      <c r="C20" s="47">
        <f t="shared" si="0"/>
        <v>0.11263709383311254</v>
      </c>
      <c r="D20" s="50">
        <v>-22160.142857142859</v>
      </c>
      <c r="E20" s="45">
        <f t="shared" si="0"/>
        <v>6.6187699288247887E-2</v>
      </c>
      <c r="F20" s="74">
        <v>-7386.7142857142862</v>
      </c>
      <c r="G20" s="74">
        <v>-7386.7142857142862</v>
      </c>
      <c r="H20" s="74">
        <v>-7386.7142857142862</v>
      </c>
      <c r="I20" s="47">
        <f t="shared" ref="I20" si="18">+H20/H$42</f>
        <v>6.6187699288247887E-2</v>
      </c>
    </row>
    <row r="21" spans="1:9" x14ac:dyDescent="0.2">
      <c r="A21" s="78" t="s">
        <v>63</v>
      </c>
      <c r="B21" s="50">
        <v>-6619.1428571428569</v>
      </c>
      <c r="C21" s="47">
        <f t="shared" si="0"/>
        <v>-5.8877123516921474E-2</v>
      </c>
      <c r="D21" s="50">
        <v>36734.285714285717</v>
      </c>
      <c r="E21" s="45">
        <f t="shared" si="0"/>
        <v>-0.10971760751271627</v>
      </c>
      <c r="F21" s="74">
        <v>12244.761904761906</v>
      </c>
      <c r="G21" s="74">
        <v>12244.761904761906</v>
      </c>
      <c r="H21" s="74">
        <v>12244.761904761906</v>
      </c>
      <c r="I21" s="47">
        <f t="shared" ref="I21" si="19">+H21/H$42</f>
        <v>-0.10971760751271628</v>
      </c>
    </row>
    <row r="22" spans="1:9" x14ac:dyDescent="0.2">
      <c r="A22" s="78"/>
      <c r="B22" s="48">
        <f>SUM(B15:B21)</f>
        <v>-108775.28571428572</v>
      </c>
      <c r="C22" s="47">
        <f t="shared" si="0"/>
        <v>-0.96755366530234754</v>
      </c>
      <c r="D22" s="48">
        <f>SUM(D15:D21)</f>
        <v>60232.85714285713</v>
      </c>
      <c r="E22" s="45">
        <f t="shared" si="0"/>
        <v>-0.17990291224852822</v>
      </c>
      <c r="F22" s="49">
        <f t="shared" ref="F22:H22" si="20">SUM(F15:F21)</f>
        <v>20077.619047619046</v>
      </c>
      <c r="G22" s="49">
        <f t="shared" si="20"/>
        <v>20077.619047619046</v>
      </c>
      <c r="H22" s="49">
        <f t="shared" si="20"/>
        <v>20077.619047619046</v>
      </c>
      <c r="I22" s="47">
        <f t="shared" ref="I22" si="21">+H22/H$42</f>
        <v>-0.17990291224852825</v>
      </c>
    </row>
    <row r="23" spans="1:9" x14ac:dyDescent="0.2">
      <c r="A23" s="78"/>
      <c r="B23" s="50"/>
      <c r="C23" s="47"/>
      <c r="D23" s="50"/>
      <c r="E23" s="45"/>
      <c r="F23" s="74"/>
      <c r="G23" s="74"/>
      <c r="H23" s="74"/>
      <c r="I23" s="47"/>
    </row>
    <row r="24" spans="1:9" x14ac:dyDescent="0.2">
      <c r="A24" s="79" t="s">
        <v>64</v>
      </c>
      <c r="B24" s="48">
        <f>+B13+B22</f>
        <v>158095.14285714278</v>
      </c>
      <c r="C24" s="47">
        <f t="shared" si="0"/>
        <v>1.4062526605511587</v>
      </c>
      <c r="D24" s="48">
        <f>+D13+D22</f>
        <v>108208.71428571429</v>
      </c>
      <c r="E24" s="45">
        <f t="shared" si="0"/>
        <v>-0.32319673603558208</v>
      </c>
      <c r="F24" s="49">
        <f t="shared" ref="F24:H24" si="22">+F13+F22</f>
        <v>36069.571428571435</v>
      </c>
      <c r="G24" s="49">
        <f t="shared" si="22"/>
        <v>36069.571428571435</v>
      </c>
      <c r="H24" s="49">
        <f t="shared" si="22"/>
        <v>36069.571428571435</v>
      </c>
      <c r="I24" s="47">
        <f t="shared" ref="I24" si="23">+H24/H$42</f>
        <v>-0.32319673603558213</v>
      </c>
    </row>
    <row r="25" spans="1:9" x14ac:dyDescent="0.2">
      <c r="A25" s="78" t="s">
        <v>65</v>
      </c>
      <c r="B25" s="50">
        <v>-5527.7142857142853</v>
      </c>
      <c r="C25" s="47">
        <f t="shared" si="0"/>
        <v>-4.9168891469844163E-2</v>
      </c>
      <c r="D25" s="50">
        <v>-8455</v>
      </c>
      <c r="E25" s="45">
        <f t="shared" si="0"/>
        <v>2.5253311817065069E-2</v>
      </c>
      <c r="F25" s="74">
        <v>-2818.3333333333335</v>
      </c>
      <c r="G25" s="74">
        <v>-2818.3333333333335</v>
      </c>
      <c r="H25" s="74">
        <v>-2818.3333333333335</v>
      </c>
      <c r="I25" s="47">
        <f t="shared" ref="I25" si="24">+H25/H$42</f>
        <v>2.5253311817065072E-2</v>
      </c>
    </row>
    <row r="26" spans="1:9" x14ac:dyDescent="0.2">
      <c r="A26" s="78" t="s">
        <v>66</v>
      </c>
      <c r="B26" s="50"/>
      <c r="C26" s="47"/>
      <c r="D26" s="50"/>
      <c r="E26" s="45"/>
      <c r="F26" s="74"/>
      <c r="G26" s="74"/>
      <c r="H26" s="74"/>
      <c r="I26" s="47"/>
    </row>
    <row r="27" spans="1:9" x14ac:dyDescent="0.2">
      <c r="A27" s="79" t="s">
        <v>67</v>
      </c>
      <c r="B27" s="48">
        <f>+B24+B25</f>
        <v>152567.42857142849</v>
      </c>
      <c r="C27" s="47">
        <f t="shared" si="0"/>
        <v>1.3570837690813147</v>
      </c>
      <c r="D27" s="48">
        <f>+D24+D25</f>
        <v>99753.71428571429</v>
      </c>
      <c r="E27" s="45">
        <f t="shared" si="0"/>
        <v>-0.29794342421851699</v>
      </c>
      <c r="F27" s="49">
        <f t="shared" ref="F27:H27" si="25">+F24+F25</f>
        <v>33251.238095238099</v>
      </c>
      <c r="G27" s="49">
        <f t="shared" si="25"/>
        <v>33251.238095238099</v>
      </c>
      <c r="H27" s="49">
        <f t="shared" si="25"/>
        <v>33251.238095238099</v>
      </c>
      <c r="I27" s="47">
        <f t="shared" ref="I27" si="26">+H27/H$42</f>
        <v>-0.29794342421851705</v>
      </c>
    </row>
    <row r="28" spans="1:9" x14ac:dyDescent="0.2">
      <c r="A28" s="79" t="s">
        <v>68</v>
      </c>
      <c r="B28" s="48"/>
      <c r="C28" s="47"/>
      <c r="D28" s="48"/>
      <c r="E28" s="45"/>
      <c r="F28" s="74"/>
      <c r="G28" s="74"/>
      <c r="H28" s="74"/>
      <c r="I28" s="47"/>
    </row>
    <row r="29" spans="1:9" x14ac:dyDescent="0.2">
      <c r="A29" s="78" t="s">
        <v>82</v>
      </c>
      <c r="B29" s="50">
        <v>-38514.857142857145</v>
      </c>
      <c r="C29" s="47">
        <f t="shared" si="0"/>
        <v>-0.34258876869374755</v>
      </c>
      <c r="D29" s="50">
        <v>-78856</v>
      </c>
      <c r="E29" s="45">
        <f t="shared" si="0"/>
        <v>0.23552633431655626</v>
      </c>
      <c r="F29" s="74">
        <v>-26285.333333333332</v>
      </c>
      <c r="G29" s="74">
        <v>-26285.333333333332</v>
      </c>
      <c r="H29" s="74">
        <v>-26285.333333333332</v>
      </c>
      <c r="I29" s="47">
        <f t="shared" ref="I29" si="27">+H29/H$42</f>
        <v>0.23552633431655626</v>
      </c>
    </row>
    <row r="30" spans="1:9" x14ac:dyDescent="0.2">
      <c r="A30" s="78" t="s">
        <v>23</v>
      </c>
      <c r="B30" s="50">
        <v>30750.142857142859</v>
      </c>
      <c r="C30" s="47">
        <f t="shared" si="0"/>
        <v>0.27352181366039768</v>
      </c>
      <c r="D30" s="50">
        <v>32676</v>
      </c>
      <c r="E30" s="45">
        <f t="shared" si="0"/>
        <v>-9.7596359187985593E-2</v>
      </c>
      <c r="F30" s="74">
        <v>10892</v>
      </c>
      <c r="G30" s="74">
        <v>10892</v>
      </c>
      <c r="H30" s="74">
        <v>10892</v>
      </c>
      <c r="I30" s="47">
        <f t="shared" ref="I30" si="28">+H30/H$42</f>
        <v>-9.7596359187985607E-2</v>
      </c>
    </row>
    <row r="31" spans="1:9" x14ac:dyDescent="0.2">
      <c r="A31" s="78" t="s">
        <v>25</v>
      </c>
      <c r="B31" s="50">
        <v>255</v>
      </c>
      <c r="C31" s="47">
        <f t="shared" si="0"/>
        <v>2.2682191366535337E-3</v>
      </c>
      <c r="D31" s="50">
        <v>364.28571428571428</v>
      </c>
      <c r="E31" s="45">
        <f t="shared" si="0"/>
        <v>-1.0880450305569981E-3</v>
      </c>
      <c r="F31" s="74">
        <v>121.42857142857143</v>
      </c>
      <c r="G31" s="74">
        <v>121.42857142857143</v>
      </c>
      <c r="H31" s="74">
        <v>121.42857142857143</v>
      </c>
      <c r="I31" s="47">
        <f t="shared" ref="I31" si="29">+H31/H$42</f>
        <v>-1.0880450305569981E-3</v>
      </c>
    </row>
    <row r="32" spans="1:9" x14ac:dyDescent="0.2">
      <c r="A32" s="79" t="s">
        <v>69</v>
      </c>
      <c r="B32" s="48">
        <f>SUM(B27:B31)</f>
        <v>145057.7142857142</v>
      </c>
      <c r="C32" s="47">
        <f t="shared" si="0"/>
        <v>1.2902850331846183</v>
      </c>
      <c r="D32" s="48">
        <f>SUM(D27:D31)</f>
        <v>53938.000000000007</v>
      </c>
      <c r="E32" s="45">
        <f t="shared" si="0"/>
        <v>-0.16110149412050337</v>
      </c>
      <c r="F32" s="49">
        <f t="shared" ref="F32:H32" si="30">SUM(F27:F31)</f>
        <v>17979.333333333339</v>
      </c>
      <c r="G32" s="49">
        <f t="shared" si="30"/>
        <v>17979.333333333339</v>
      </c>
      <c r="H32" s="49">
        <f t="shared" si="30"/>
        <v>17979.333333333339</v>
      </c>
      <c r="I32" s="47">
        <f t="shared" ref="I32" si="31">+H32/H$42</f>
        <v>-0.1611014941205034</v>
      </c>
    </row>
    <row r="33" spans="1:9" x14ac:dyDescent="0.2">
      <c r="A33" s="78" t="s">
        <v>70</v>
      </c>
      <c r="B33" s="50"/>
      <c r="C33" s="47"/>
      <c r="D33" s="50"/>
      <c r="E33" s="45"/>
      <c r="F33" s="74"/>
      <c r="G33" s="74"/>
      <c r="H33" s="74"/>
      <c r="I33" s="47"/>
    </row>
    <row r="34" spans="1:9" x14ac:dyDescent="0.2">
      <c r="A34" s="78" t="s">
        <v>71</v>
      </c>
      <c r="B34" s="50">
        <v>527639.28571428568</v>
      </c>
      <c r="C34" s="47">
        <f t="shared" si="0"/>
        <v>4.6933393141464483</v>
      </c>
      <c r="D34" s="50">
        <v>0</v>
      </c>
      <c r="E34" s="45">
        <f t="shared" si="0"/>
        <v>0</v>
      </c>
      <c r="F34" s="74">
        <v>0</v>
      </c>
      <c r="G34" s="74">
        <v>0</v>
      </c>
      <c r="H34" s="74">
        <v>0</v>
      </c>
      <c r="I34" s="47">
        <f t="shared" ref="I34" si="32">+H34/H$42</f>
        <v>0</v>
      </c>
    </row>
    <row r="35" spans="1:9" x14ac:dyDescent="0.2">
      <c r="A35" s="78" t="s">
        <v>72</v>
      </c>
      <c r="B35" s="50">
        <v>-393599.14285714284</v>
      </c>
      <c r="C35" s="47">
        <f t="shared" si="0"/>
        <v>-3.5010553254862722</v>
      </c>
      <c r="D35" s="50">
        <v>-236073.71428571429</v>
      </c>
      <c r="E35" s="45">
        <f t="shared" si="0"/>
        <v>0.70510267518271696</v>
      </c>
      <c r="F35" s="74">
        <v>-78691.238095238092</v>
      </c>
      <c r="G35" s="74">
        <v>-78691.238095238092</v>
      </c>
      <c r="H35" s="74">
        <v>-78691.238095238092</v>
      </c>
      <c r="I35" s="47">
        <f t="shared" ref="I35" si="33">+H35/H$42</f>
        <v>0.70510267518271696</v>
      </c>
    </row>
    <row r="36" spans="1:9" x14ac:dyDescent="0.2">
      <c r="A36" s="78" t="s">
        <v>73</v>
      </c>
      <c r="B36" s="50">
        <v>-96160.857142857145</v>
      </c>
      <c r="C36" s="47">
        <f t="shared" si="0"/>
        <v>-0.85534861320954991</v>
      </c>
      <c r="D36" s="50">
        <v>-62855.428571428572</v>
      </c>
      <c r="E36" s="45">
        <f t="shared" si="0"/>
        <v>0.18773598309988723</v>
      </c>
      <c r="F36" s="74">
        <v>-20951.809523809523</v>
      </c>
      <c r="G36" s="74">
        <v>-20951.809523809523</v>
      </c>
      <c r="H36" s="74">
        <v>-20951.809523809523</v>
      </c>
      <c r="I36" s="47">
        <f t="shared" ref="I36" si="34">+H36/H$42</f>
        <v>0.18773598309988723</v>
      </c>
    </row>
    <row r="37" spans="1:9" x14ac:dyDescent="0.2">
      <c r="A37" s="78" t="s">
        <v>74</v>
      </c>
      <c r="B37" s="50">
        <v>-20832</v>
      </c>
      <c r="C37" s="47">
        <f t="shared" si="0"/>
        <v>-0.18530016099908397</v>
      </c>
      <c r="D37" s="50">
        <v>-20598.142857142859</v>
      </c>
      <c r="E37" s="45">
        <f t="shared" si="0"/>
        <v>6.1522332870949756E-2</v>
      </c>
      <c r="F37" s="74">
        <v>-6866.0476190476193</v>
      </c>
      <c r="G37" s="74">
        <v>-6866.0476190476193</v>
      </c>
      <c r="H37" s="74">
        <v>-6866.0476190476193</v>
      </c>
      <c r="I37" s="47">
        <f t="shared" ref="I37" si="35">+H37/H$42</f>
        <v>6.1522332870949756E-2</v>
      </c>
    </row>
    <row r="38" spans="1:9" x14ac:dyDescent="0.2">
      <c r="A38" s="78" t="s">
        <v>75</v>
      </c>
      <c r="B38" s="50">
        <v>-39826.571428571428</v>
      </c>
      <c r="C38" s="47">
        <f t="shared" si="0"/>
        <v>-0.35425643710425325</v>
      </c>
      <c r="D38" s="50">
        <v>-39714.285714285717</v>
      </c>
      <c r="E38" s="45">
        <f t="shared" si="0"/>
        <v>0.11861824254699822</v>
      </c>
      <c r="F38" s="74">
        <v>-13238.095238095239</v>
      </c>
      <c r="G38" s="74">
        <v>-13238.095238095239</v>
      </c>
      <c r="H38" s="74">
        <v>-13238.095238095239</v>
      </c>
      <c r="I38" s="47">
        <f t="shared" ref="I38" si="36">+H38/H$42</f>
        <v>0.11861824254699822</v>
      </c>
    </row>
    <row r="39" spans="1:9" x14ac:dyDescent="0.2">
      <c r="A39" s="79" t="s">
        <v>76</v>
      </c>
      <c r="B39" s="48">
        <f>SUM(B34:B38)</f>
        <v>-22779.285714285732</v>
      </c>
      <c r="C39" s="47">
        <f t="shared" si="0"/>
        <v>-0.20262122265271121</v>
      </c>
      <c r="D39" s="48">
        <f>SUM(D34:D38)</f>
        <v>-359241.57142857142</v>
      </c>
      <c r="E39" s="45">
        <f t="shared" si="0"/>
        <v>1.0729792337005521</v>
      </c>
      <c r="F39" s="49">
        <f t="shared" ref="F39:H39" si="37">SUM(F34:F38)</f>
        <v>-119747.19047619047</v>
      </c>
      <c r="G39" s="49">
        <f t="shared" si="37"/>
        <v>-119747.19047619047</v>
      </c>
      <c r="H39" s="49">
        <f t="shared" si="37"/>
        <v>-119747.19047619047</v>
      </c>
      <c r="I39" s="47">
        <f t="shared" ref="I39" si="38">+H39/H$42</f>
        <v>1.0729792337005521</v>
      </c>
    </row>
    <row r="40" spans="1:9" x14ac:dyDescent="0.2">
      <c r="A40" s="79" t="s">
        <v>77</v>
      </c>
      <c r="B40" s="48">
        <f>+B32+B39</f>
        <v>122278.42857142846</v>
      </c>
      <c r="C40" s="47">
        <f t="shared" si="0"/>
        <v>1.087663810531907</v>
      </c>
      <c r="D40" s="48">
        <f>+D32+D39</f>
        <v>-305303.57142857142</v>
      </c>
      <c r="E40" s="45">
        <f t="shared" si="0"/>
        <v>0.9118777395800487</v>
      </c>
      <c r="F40" s="49">
        <f t="shared" ref="F40:H40" si="39">+F32+F39</f>
        <v>-101767.85714285713</v>
      </c>
      <c r="G40" s="49">
        <f t="shared" si="39"/>
        <v>-101767.85714285713</v>
      </c>
      <c r="H40" s="49">
        <f t="shared" si="39"/>
        <v>-101767.85714285713</v>
      </c>
      <c r="I40" s="47">
        <f t="shared" ref="I40" si="40">+H40/H$42</f>
        <v>0.9118777395800487</v>
      </c>
    </row>
    <row r="41" spans="1:9" x14ac:dyDescent="0.2">
      <c r="A41" s="78" t="s">
        <v>78</v>
      </c>
      <c r="B41" s="50">
        <v>-9855.4285714285706</v>
      </c>
      <c r="C41" s="47">
        <f t="shared" si="0"/>
        <v>-8.7663810531906985E-2</v>
      </c>
      <c r="D41" s="50">
        <v>-29504</v>
      </c>
      <c r="E41" s="45">
        <f t="shared" si="0"/>
        <v>8.8122260419951248E-2</v>
      </c>
      <c r="F41" s="74">
        <v>-9834.6666666666661</v>
      </c>
      <c r="G41" s="74">
        <v>-9834.6666666666661</v>
      </c>
      <c r="H41" s="74">
        <v>-9834.6666666666661</v>
      </c>
      <c r="I41" s="47">
        <f t="shared" ref="I41" si="41">+H41/H$42</f>
        <v>8.8122260419951248E-2</v>
      </c>
    </row>
    <row r="42" spans="1:9" x14ac:dyDescent="0.2">
      <c r="A42" s="79" t="s">
        <v>79</v>
      </c>
      <c r="B42" s="48">
        <f>+B40+B41</f>
        <v>112422.9999999999</v>
      </c>
      <c r="C42" s="47">
        <f>+B42/B$42</f>
        <v>1</v>
      </c>
      <c r="D42" s="48">
        <f>+D40+D41</f>
        <v>-334807.57142857142</v>
      </c>
      <c r="E42" s="45">
        <f>+D42/D$42</f>
        <v>1</v>
      </c>
      <c r="F42" s="49">
        <f t="shared" ref="F42:H42" si="42">+F40+F41</f>
        <v>-111602.5238095238</v>
      </c>
      <c r="G42" s="49">
        <f t="shared" si="42"/>
        <v>-111602.5238095238</v>
      </c>
      <c r="H42" s="49">
        <f t="shared" si="42"/>
        <v>-111602.5238095238</v>
      </c>
      <c r="I42" s="47">
        <f>+H42/H$42</f>
        <v>1</v>
      </c>
    </row>
    <row r="43" spans="1:9" x14ac:dyDescent="0.2">
      <c r="A43" s="79" t="s">
        <v>80</v>
      </c>
      <c r="B43" s="48">
        <v>1000</v>
      </c>
      <c r="C43" s="7"/>
      <c r="D43" s="48">
        <f>+B44</f>
        <v>113422.9999999999</v>
      </c>
      <c r="E43" s="3"/>
      <c r="F43" s="74">
        <f>+B44</f>
        <v>113422.9999999999</v>
      </c>
      <c r="G43" s="74">
        <f>+F44</f>
        <v>1820.4761904760962</v>
      </c>
      <c r="H43" s="74">
        <f>+G44</f>
        <v>-109782.04761904771</v>
      </c>
      <c r="I43" s="7"/>
    </row>
    <row r="44" spans="1:9" x14ac:dyDescent="0.2">
      <c r="A44" s="80" t="s">
        <v>81</v>
      </c>
      <c r="B44" s="55">
        <f>+B42+B43</f>
        <v>113422.9999999999</v>
      </c>
      <c r="C44" s="76"/>
      <c r="D44" s="55">
        <f>+D42+D43</f>
        <v>-221384.57142857154</v>
      </c>
      <c r="E44" s="75"/>
      <c r="F44" s="57">
        <f t="shared" ref="F44:H44" si="43">+F42+F43</f>
        <v>1820.4761904760962</v>
      </c>
      <c r="G44" s="57">
        <f t="shared" si="43"/>
        <v>-109782.04761904771</v>
      </c>
      <c r="H44" s="57">
        <f t="shared" si="43"/>
        <v>-221384.57142857151</v>
      </c>
      <c r="I44" s="76"/>
    </row>
    <row r="45" spans="1:9" x14ac:dyDescent="0.2">
      <c r="D45" s="40"/>
    </row>
    <row r="46" spans="1:9" x14ac:dyDescent="0.2">
      <c r="D46" s="40"/>
    </row>
    <row r="47" spans="1:9" x14ac:dyDescent="0.2">
      <c r="D47" s="40"/>
    </row>
  </sheetData>
  <mergeCells count="3">
    <mergeCell ref="A1:A2"/>
    <mergeCell ref="B1:C1"/>
    <mergeCell ref="D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Balanço</vt:lpstr>
      <vt:lpstr>Resultado</vt:lpstr>
      <vt:lpstr>Fluxo de Caixa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Carlos Souza</dc:creator>
  <cp:lastModifiedBy>Jose Carlos Souza</cp:lastModifiedBy>
  <dcterms:created xsi:type="dcterms:W3CDTF">2026-05-29T12:05:10Z</dcterms:created>
  <dcterms:modified xsi:type="dcterms:W3CDTF">2026-05-29T20:26:05Z</dcterms:modified>
</cp:coreProperties>
</file>